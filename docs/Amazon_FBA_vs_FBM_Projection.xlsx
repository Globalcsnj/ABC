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er-Unit" sheetId="2" state="visible" r:id="rId2"/>
    <sheet name="Monthly" sheetId="3" state="visible" r:id="rId3"/>
    <sheet name="Projec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-"/>
    <numFmt numFmtId="165" formatCode="0.0%"/>
    <numFmt numFmtId="166" formatCode="$#,##0;($#,##0);-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</font>
    <font>
      <name val="Arial"/>
      <color rgb="000000FF"/>
    </font>
    <font>
      <name val="Arial"/>
      <b val="1"/>
      <color rgb="00FFFFFF"/>
    </font>
    <font>
      <name val="Arial"/>
      <b val="1"/>
    </font>
    <font>
      <name val="Arial"/>
      <b val="1"/>
      <color rgb="00B26A16"/>
    </font>
    <font>
      <name val="Arial"/>
      <b val="1"/>
      <color rgb="002F7A54"/>
    </font>
  </fonts>
  <fills count="7">
    <fill>
      <patternFill/>
    </fill>
    <fill>
      <patternFill patternType="gray125"/>
    </fill>
    <fill>
      <patternFill patternType="solid">
        <fgColor rgb="00B26A16"/>
      </patternFill>
    </fill>
    <fill>
      <patternFill patternType="solid">
        <fgColor rgb="00FFFF00"/>
      </patternFill>
    </fill>
    <fill>
      <patternFill patternType="solid">
        <fgColor rgb="001B2A4A"/>
      </patternFill>
    </fill>
    <fill>
      <patternFill patternType="solid">
        <fgColor rgb="00E1F0E7"/>
      </patternFill>
    </fill>
    <fill>
      <patternFill patternType="solid">
        <fgColor rgb="00F3EFE7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1B2A4A"/>
      </top>
      <bottom style="thin">
        <color rgb="00CCCCCC"/>
      </bottom>
    </border>
    <border>
      <top style="medium">
        <color rgb="001B2A4A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164" fontId="5" fillId="3" borderId="1" pivotButton="0" quotePrefix="0" xfId="0"/>
    <xf numFmtId="165" fontId="4" fillId="0" borderId="1" pivotButton="0" quotePrefix="0" xfId="0"/>
    <xf numFmtId="165" fontId="5" fillId="3" borderId="1" pivotButton="0" quotePrefix="0" xfId="0"/>
    <xf numFmtId="166" fontId="5" fillId="3" borderId="1" pivotButton="0" quotePrefix="0" xfId="0"/>
    <xf numFmtId="3" fontId="5" fillId="3" borderId="1" pivotButton="0" quotePrefix="0" xfId="0"/>
    <xf numFmtId="166" fontId="4" fillId="0" borderId="1" pivotButton="0" quotePrefix="0" xfId="0"/>
    <xf numFmtId="3" fontId="4" fillId="0" borderId="1" pivotButton="0" quotePrefix="0" xfId="0"/>
    <xf numFmtId="0" fontId="2" fillId="0" borderId="0" applyAlignment="1" pivotButton="0" quotePrefix="0" xfId="0">
      <alignment vertical="top" wrapText="1"/>
    </xf>
    <xf numFmtId="0" fontId="6" fillId="4" borderId="0" applyAlignment="1" pivotButton="0" quotePrefix="0" xfId="0">
      <alignment horizontal="left"/>
    </xf>
    <xf numFmtId="0" fontId="6" fillId="4" borderId="0" applyAlignment="1" pivotButton="0" quotePrefix="0" xfId="0">
      <alignment horizontal="center"/>
    </xf>
    <xf numFmtId="164" fontId="4" fillId="0" borderId="1" pivotButton="0" quotePrefix="0" xfId="0"/>
    <xf numFmtId="0" fontId="7" fillId="0" borderId="0" pivotButton="0" quotePrefix="0" xfId="0"/>
    <xf numFmtId="164" fontId="7" fillId="0" borderId="1" pivotButton="0" quotePrefix="0" xfId="0"/>
    <xf numFmtId="164" fontId="7" fillId="5" borderId="2" pivotButton="0" quotePrefix="0" xfId="0"/>
    <xf numFmtId="165" fontId="7" fillId="0" borderId="1" pivotButton="0" quotePrefix="0" xfId="0"/>
    <xf numFmtId="166" fontId="7" fillId="0" borderId="1" pivotButton="0" quotePrefix="0" xfId="0"/>
    <xf numFmtId="166" fontId="7" fillId="5" borderId="2" pivotButton="0" quotePrefix="0" xfId="0"/>
    <xf numFmtId="0" fontId="8" fillId="0" borderId="0" pivotButton="0" quotePrefix="0" xfId="0"/>
    <xf numFmtId="166" fontId="7" fillId="0" borderId="0" pivotButton="0" quotePrefix="0" xfId="0"/>
    <xf numFmtId="0" fontId="6" fillId="4" borderId="1" applyAlignment="1" pivotButton="0" quotePrefix="0" xfId="0">
      <alignment horizontal="center" wrapText="1"/>
    </xf>
    <xf numFmtId="1" fontId="4" fillId="0" borderId="0" applyAlignment="1" pivotButton="0" quotePrefix="0" xfId="0">
      <alignment horizontal="center"/>
    </xf>
    <xf numFmtId="1" fontId="4" fillId="6" borderId="0" applyAlignment="1" pivotButton="0" quotePrefix="0" xfId="0">
      <alignment horizontal="center"/>
    </xf>
    <xf numFmtId="3" fontId="4" fillId="6" borderId="1" pivotButton="0" quotePrefix="0" xfId="0"/>
    <xf numFmtId="166" fontId="4" fillId="6" borderId="1" pivotButton="0" quotePrefix="0" xfId="0"/>
    <xf numFmtId="0" fontId="7" fillId="0" borderId="3" pivotButton="0" quotePrefix="0" xfId="0"/>
    <xf numFmtId="3" fontId="7" fillId="0" borderId="3" pivotButton="0" quotePrefix="0" xfId="0"/>
    <xf numFmtId="166" fontId="7" fillId="0" borderId="3" pivotButton="0" quotePrefix="0" xfId="0"/>
    <xf numFmtId="166" fontId="9" fillId="0" borderId="0" pivotButton="0" quotePrefix="0" xfId="0"/>
    <xf numFmtId="166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Net Profit — FBA vs FBM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8000">
              <a:solidFill>
                <a:srgbClr val="B26A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'Projection'!$A$5:$A$16</f>
            </numRef>
          </cat>
          <val>
            <numRef>
              <f>'Projection'!$E$5:$E$16</f>
            </numRef>
          </val>
        </ser>
        <ser>
          <idx val="1"/>
          <order val="1"/>
          <tx>
            <strRef>
              <f>'Projection'!H4</f>
            </strRef>
          </tx>
          <spPr>
            <a:ln w="28000">
              <a:solidFill>
                <a:srgbClr val="1B2A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'Projection'!$A$5:$A$16</f>
            </numRef>
          </cat>
          <val>
            <numRef>
              <f>'Projection'!$H$5:$H$16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ABC</author>
  </authors>
  <commentList>
    <comment ref="B11" authorId="0" shapeId="0">
      <text>
        <t>2026 FBA fulfillment ~$3-5 for small/standard items. Source: amzprep.com/amazon-fba-fees.</t>
      </text>
    </comment>
    <comment ref="B12" authorId="0" shapeId="0">
      <text>
        <t>Storage ~$0.87/ft3 (Jan-Sep), ~$2.40 Q4; aged surcharge after 180 days. Enter a per-item average.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54" customWidth="1" min="3" max="3"/>
  </cols>
  <sheetData>
    <row r="1">
      <c r="A1" s="1" t="inlineStr">
        <is>
          <t>ABC MoneyLoan — Amazon Reseller Projection</t>
        </is>
      </c>
    </row>
    <row r="2">
      <c r="A2" s="2" t="inlineStr">
        <is>
          <t>FBA vs FBM comparison · 3 employees · 66.6% gross margin</t>
        </is>
      </c>
    </row>
    <row r="4">
      <c r="A4" s="3" t="inlineStr">
        <is>
          <t>ITEM ECONOMICS</t>
        </is>
      </c>
      <c r="B4" s="4" t="n"/>
      <c r="C4" s="4" t="n"/>
    </row>
    <row r="5">
      <c r="A5" s="5" t="inlineStr">
        <is>
          <t>Average selling price</t>
        </is>
      </c>
      <c r="B5" s="6" t="n">
        <v>30</v>
      </c>
      <c r="C5" s="2" t="inlineStr">
        <is>
          <t>Editable. Typical resale price per item.</t>
        </is>
      </c>
    </row>
    <row r="6">
      <c r="A6" s="5" t="inlineStr">
        <is>
          <t>Average product cost (COGS)</t>
        </is>
      </c>
      <c r="B6" s="6" t="n">
        <v>10</v>
      </c>
      <c r="C6" s="2" t="inlineStr">
        <is>
          <t>What the item costs ABC (pawn basis).</t>
        </is>
      </c>
    </row>
    <row r="7">
      <c r="A7" s="5" t="inlineStr">
        <is>
          <t>Gross margin %</t>
        </is>
      </c>
      <c r="B7" s="7">
        <f>1-B6/B5</f>
        <v>0.6666666666666667</v>
      </c>
      <c r="C7" s="2" t="inlineStr">
        <is>
          <t>Equals 1 − cost/price. Target 66.6%.</t>
        </is>
      </c>
    </row>
    <row r="9">
      <c r="A9" s="3" t="inlineStr">
        <is>
          <t>AMAZON FEES</t>
        </is>
      </c>
      <c r="B9" s="4" t="n"/>
      <c r="C9" s="4" t="n"/>
    </row>
    <row r="10">
      <c r="A10" s="5" t="inlineStr">
        <is>
          <t>Referral commission %</t>
        </is>
      </c>
      <c r="B10" s="8" t="n">
        <v>0.15</v>
      </c>
      <c r="C10" s="2" t="inlineStr">
        <is>
          <t>Per item. 8% electronics … 15% most goods.</t>
        </is>
      </c>
    </row>
    <row r="11">
      <c r="A11" s="5" t="inlineStr">
        <is>
          <t>FBA fulfillment fee / item</t>
        </is>
      </c>
      <c r="B11" s="6" t="n">
        <v>4.5</v>
      </c>
      <c r="C11" s="2" t="inlineStr">
        <is>
          <t>Flat pick/pack/ship (2026 ~$3–5). FBA only.</t>
        </is>
      </c>
    </row>
    <row r="12">
      <c r="A12" s="5" t="inlineStr">
        <is>
          <t>FBA storage / item (avg)</t>
        </is>
      </c>
      <c r="B12" s="6" t="n">
        <v>0.5</v>
      </c>
      <c r="C12" s="2" t="inlineStr">
        <is>
          <t>Monthly storage until it sells. FBA only.</t>
        </is>
      </c>
    </row>
    <row r="13">
      <c r="A13" s="5" t="inlineStr">
        <is>
          <t>Amazon Professional plan / month</t>
        </is>
      </c>
      <c r="B13" s="9" t="n">
        <v>40</v>
      </c>
      <c r="C13" s="2" t="inlineStr">
        <is>
          <t>Flat monthly overhead (both methods).</t>
        </is>
      </c>
    </row>
    <row r="15">
      <c r="A15" s="3" t="inlineStr">
        <is>
          <t>FBM (SELF-FULFILL)</t>
        </is>
      </c>
      <c r="B15" s="4" t="n"/>
      <c r="C15" s="4" t="n"/>
    </row>
    <row r="16">
      <c r="A16" s="5" t="inlineStr">
        <is>
          <t>FBM outbound shipping / item</t>
        </is>
      </c>
      <c r="B16" s="6" t="n">
        <v>6</v>
      </c>
      <c r="C16" s="2" t="inlineStr">
        <is>
          <t>Postage + box ABC pays to ship to buyer.</t>
        </is>
      </c>
    </row>
    <row r="18">
      <c r="A18" s="3" t="inlineStr">
        <is>
          <t>LABOR</t>
        </is>
      </c>
      <c r="B18" s="4" t="n"/>
      <c r="C18" s="4" t="n"/>
    </row>
    <row r="19">
      <c r="A19" s="5" t="inlineStr">
        <is>
          <t>Number of employees</t>
        </is>
      </c>
      <c r="B19" s="10" t="n">
        <v>3</v>
      </c>
      <c r="C19" s="2" t="inlineStr">
        <is>
          <t>Given.</t>
        </is>
      </c>
    </row>
    <row r="20">
      <c r="A20" s="5" t="inlineStr">
        <is>
          <t>Wage per employee / month</t>
        </is>
      </c>
      <c r="B20" s="9" t="n">
        <v>2600</v>
      </c>
      <c r="C20" s="2" t="inlineStr">
        <is>
          <t>Assumption ≈ $15/hr full-time. Set to actual.</t>
        </is>
      </c>
    </row>
    <row r="21">
      <c r="A21" s="5" t="inlineStr">
        <is>
          <t>Share of staff time on Amazon</t>
        </is>
      </c>
      <c r="B21" s="8" t="n">
        <v>1</v>
      </c>
      <c r="C21" s="2" t="inlineStr">
        <is>
          <t>100% = fully dedicated. Lower if staff also run the shop.</t>
        </is>
      </c>
    </row>
    <row r="22">
      <c r="A22" s="5" t="inlineStr">
        <is>
          <t>Total monthly labor (Amazon)</t>
        </is>
      </c>
      <c r="B22" s="11">
        <f>B19*B20*B21</f>
        <v>7800</v>
      </c>
      <c r="C22" s="2" t="inlineStr">
        <is>
          <t>Employees × wage × share.</t>
        </is>
      </c>
    </row>
    <row r="24">
      <c r="A24" s="3" t="inlineStr">
        <is>
          <t>VOLUME</t>
        </is>
      </c>
      <c r="B24" s="4" t="n"/>
      <c r="C24" s="4" t="n"/>
    </row>
    <row r="25">
      <c r="A25" s="5" t="inlineStr">
        <is>
          <t>Units / month — snapshot</t>
        </is>
      </c>
      <c r="B25" s="10" t="n">
        <v>900</v>
      </c>
      <c r="C25" s="2" t="inlineStr">
        <is>
          <t>Volume used on the 'Monthly' sheet.</t>
        </is>
      </c>
    </row>
    <row r="26">
      <c r="A26" s="5" t="inlineStr">
        <is>
          <t>Month-1 units (projection)</t>
        </is>
      </c>
      <c r="B26" s="10" t="n">
        <v>700</v>
      </c>
      <c r="C26" s="2" t="inlineStr">
        <is>
          <t>Starting volume for the 12-month projection.</t>
        </is>
      </c>
    </row>
    <row r="27">
      <c r="A27" s="5" t="inlineStr">
        <is>
          <t>Monthly growth rate</t>
        </is>
      </c>
      <c r="B27" s="8" t="n">
        <v>0.06</v>
      </c>
      <c r="C27" s="2" t="inlineStr">
        <is>
          <t>Unit growth applied each month.</t>
        </is>
      </c>
    </row>
    <row r="29">
      <c r="A29" s="3" t="inlineStr">
        <is>
          <t>LABOR CAPACITY (units / employee / month)</t>
        </is>
      </c>
      <c r="B29" s="4" t="n"/>
      <c r="C29" s="4" t="n"/>
    </row>
    <row r="30">
      <c r="A30" s="5" t="inlineStr">
        <is>
          <t>FBM capacity / employee</t>
        </is>
      </c>
      <c r="B30" s="10" t="n">
        <v>350</v>
      </c>
      <c r="C30" s="2" t="inlineStr">
        <is>
          <t>Fewer — staff pack &amp; ship every order.</t>
        </is>
      </c>
    </row>
    <row r="31">
      <c r="A31" s="5" t="inlineStr">
        <is>
          <t>FBA capacity / employee</t>
        </is>
      </c>
      <c r="B31" s="10" t="n">
        <v>700</v>
      </c>
      <c r="C31" s="2" t="inlineStr">
        <is>
          <t>More — Amazon fulfills; staff source &amp; list.</t>
        </is>
      </c>
    </row>
    <row r="32">
      <c r="A32" s="5" t="inlineStr">
        <is>
          <t>FBM total capacity</t>
        </is>
      </c>
      <c r="B32" s="12">
        <f>B19*B30*B21</f>
        <v>1050</v>
      </c>
      <c r="C32" s="2" t="inlineStr">
        <is>
          <t>Employees × FBM capacity × share.</t>
        </is>
      </c>
    </row>
    <row r="33">
      <c r="A33" s="5" t="inlineStr">
        <is>
          <t>FBA total capacity</t>
        </is>
      </c>
      <c r="B33" s="12">
        <f>B19*B31*B21</f>
        <v>2100</v>
      </c>
      <c r="C33" s="2" t="inlineStr">
        <is>
          <t>Employees × FBA capacity × share.</t>
        </is>
      </c>
    </row>
    <row r="35">
      <c r="A35" s="13" t="inlineStr">
        <is>
          <t>Blue = editable input (yellow fill). Black = formula. Fee/storage are 2026 planning estimates from public sources — confirm in Seller Central. Wages &amp; capacity are assumptions; adjust to ABC's reality.</t>
        </is>
      </c>
    </row>
    <row r="36"/>
  </sheetData>
  <mergeCells count="1">
    <mergeCell ref="A35:C3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</cols>
  <sheetData>
    <row r="1">
      <c r="A1" s="1" t="inlineStr">
        <is>
          <t>Per-Unit Economics</t>
        </is>
      </c>
    </row>
    <row r="2">
      <c r="A2" s="2" t="inlineStr">
        <is>
          <t>One average item, before monthly overhead (plan + labor)</t>
        </is>
      </c>
    </row>
    <row r="3">
      <c r="A3" s="14" t="inlineStr">
        <is>
          <t>Per item</t>
        </is>
      </c>
      <c r="B3" s="15" t="inlineStr">
        <is>
          <t>FBA</t>
        </is>
      </c>
      <c r="C3" s="15" t="inlineStr">
        <is>
          <t>FBM</t>
        </is>
      </c>
    </row>
    <row r="4">
      <c r="A4" s="5" t="inlineStr">
        <is>
          <t>Selling price</t>
        </is>
      </c>
      <c r="B4" s="16">
        <f>Assumptions!$B$5</f>
        <v>30</v>
      </c>
      <c r="C4" s="16">
        <f>Assumptions!$B$5</f>
        <v>30</v>
      </c>
    </row>
    <row r="5">
      <c r="A5" s="5" t="inlineStr">
        <is>
          <t>Product cost (COGS)</t>
        </is>
      </c>
      <c r="B5" s="16">
        <f>-Assumptions!$B$6</f>
        <v>-10</v>
      </c>
      <c r="C5" s="16">
        <f>-Assumptions!$B$6</f>
        <v>-10</v>
      </c>
    </row>
    <row r="6">
      <c r="A6" s="17" t="inlineStr">
        <is>
          <t>Gross profit</t>
        </is>
      </c>
      <c r="B6" s="18">
        <f>B4+B5</f>
        <v>20</v>
      </c>
      <c r="C6" s="18">
        <f>C4+C5</f>
        <v>20</v>
      </c>
    </row>
    <row r="7">
      <c r="A7" s="5" t="inlineStr">
        <is>
          <t>Gross margin %</t>
        </is>
      </c>
      <c r="B7" s="7">
        <f>B6/B4</f>
        <v>0.6666666666666666</v>
      </c>
      <c r="C7" s="7">
        <f>C6/C4</f>
        <v>0.6666666666666666</v>
      </c>
    </row>
    <row r="8">
      <c r="A8" s="5" t="inlineStr">
        <is>
          <t>Referral fee</t>
        </is>
      </c>
      <c r="B8" s="16">
        <f>-B4*Assumptions!$B$10</f>
        <v>-4.5</v>
      </c>
      <c r="C8" s="16">
        <f>-C4*Assumptions!$B$10</f>
        <v>-4.5</v>
      </c>
    </row>
    <row r="9">
      <c r="A9" s="5" t="inlineStr">
        <is>
          <t>FBA fulfillment fee</t>
        </is>
      </c>
      <c r="B9" s="16">
        <f>-Assumptions!$B$11</f>
        <v>-4.5</v>
      </c>
      <c r="C9" s="16" t="n">
        <v>0</v>
      </c>
    </row>
    <row r="10">
      <c r="A10" s="5" t="inlineStr">
        <is>
          <t>FBA storage</t>
        </is>
      </c>
      <c r="B10" s="16">
        <f>-Assumptions!$B$12</f>
        <v>-0.5</v>
      </c>
      <c r="C10" s="16" t="n">
        <v>0</v>
      </c>
    </row>
    <row r="11">
      <c r="A11" s="5" t="inlineStr">
        <is>
          <t>FBM shipping</t>
        </is>
      </c>
      <c r="B11" s="16" t="n">
        <v>0</v>
      </c>
      <c r="C11" s="16">
        <f>-Assumptions!$B$16</f>
        <v>-6</v>
      </c>
    </row>
    <row r="12">
      <c r="A12" s="17" t="inlineStr">
        <is>
          <t>Contribution / unit</t>
        </is>
      </c>
      <c r="B12" s="19">
        <f>B6+B8+B9+B10+B11</f>
        <v>10.5</v>
      </c>
      <c r="C12" s="19">
        <f>C6+C8+C9+C10+C11</f>
        <v>9.5</v>
      </c>
    </row>
    <row r="13">
      <c r="A13" s="17" t="inlineStr">
        <is>
          <t>Contribution margin %</t>
        </is>
      </c>
      <c r="B13" s="20">
        <f>B12/B4</f>
        <v>0.35</v>
      </c>
      <c r="C13" s="20">
        <f>C12/C4</f>
        <v>0.31666666666666665</v>
      </c>
    </row>
    <row r="16">
      <c r="A16" s="13" t="inlineStr">
        <is>
          <t>Contribution/unit = what one sale adds before the $40 plan and wages. FBM has no FBA fee/storage but carries your own shipping — and ties up more staff time per order (see capacity).</t>
        </is>
      </c>
    </row>
    <row r="17"/>
    <row r="18"/>
  </sheetData>
  <mergeCells count="1">
    <mergeCell ref="A16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Monthly P&amp;L — FBA vs FBM</t>
        </is>
      </c>
    </row>
    <row r="2">
      <c r="A2" s="2" t="inlineStr">
        <is>
          <t>At the snapshot volume (Assumptions!B25), capped at each method's labor capacity</t>
        </is>
      </c>
    </row>
    <row r="3">
      <c r="A3" s="14" t="inlineStr">
        <is>
          <t>Line</t>
        </is>
      </c>
      <c r="B3" s="15" t="inlineStr">
        <is>
          <t>FBA</t>
        </is>
      </c>
      <c r="C3" s="15" t="inlineStr">
        <is>
          <t>FBM</t>
        </is>
      </c>
    </row>
    <row r="4">
      <c r="A4" s="5" t="inlineStr">
        <is>
          <t>Units sold / month</t>
        </is>
      </c>
      <c r="B4" s="12">
        <f>MIN(Assumptions!$B$25,Assumptions!$B$33)</f>
        <v>900</v>
      </c>
      <c r="C4" s="12">
        <f>MIN(Assumptions!$B$25,Assumptions!$B$32)</f>
        <v>900</v>
      </c>
    </row>
    <row r="5">
      <c r="A5" s="5" t="inlineStr">
        <is>
          <t>Revenue</t>
        </is>
      </c>
      <c r="B5" s="11">
        <f>B4*Assumptions!$B$5</f>
        <v>27000</v>
      </c>
      <c r="C5" s="11">
        <f>C4*Assumptions!$B$5</f>
        <v>27000</v>
      </c>
    </row>
    <row r="6">
      <c r="A6" s="5" t="inlineStr">
        <is>
          <t>Product cost (COGS)</t>
        </is>
      </c>
      <c r="B6" s="11">
        <f>-B4*Assumptions!$B$6</f>
        <v>-9000</v>
      </c>
      <c r="C6" s="11">
        <f>-C4*Assumptions!$B$6</f>
        <v>-9000</v>
      </c>
    </row>
    <row r="7">
      <c r="A7" s="17" t="inlineStr">
        <is>
          <t>Gross profit</t>
        </is>
      </c>
      <c r="B7" s="21">
        <f>B5+B6</f>
        <v>18000</v>
      </c>
      <c r="C7" s="21">
        <f>C5+C6</f>
        <v>18000</v>
      </c>
    </row>
    <row r="8">
      <c r="A8" s="5" t="inlineStr">
        <is>
          <t>Referral fees</t>
        </is>
      </c>
      <c r="B8" s="11">
        <f>-B4*Assumptions!$B$5*Assumptions!$B$10</f>
        <v>-4050</v>
      </c>
      <c r="C8" s="11">
        <f>-C4*Assumptions!$B$5*Assumptions!$B$10</f>
        <v>-4050</v>
      </c>
    </row>
    <row r="9">
      <c r="A9" s="5" t="inlineStr">
        <is>
          <t>FBA fulfillment fees</t>
        </is>
      </c>
      <c r="B9" s="11">
        <f>-B4*Assumptions!$B$11</f>
        <v>-4050</v>
      </c>
      <c r="C9" s="11" t="n">
        <v>0</v>
      </c>
    </row>
    <row r="10">
      <c r="A10" s="5" t="inlineStr">
        <is>
          <t>FBA storage</t>
        </is>
      </c>
      <c r="B10" s="11">
        <f>-B4*Assumptions!$B$12</f>
        <v>-450</v>
      </c>
      <c r="C10" s="11" t="n">
        <v>0</v>
      </c>
    </row>
    <row r="11">
      <c r="A11" s="5" t="inlineStr">
        <is>
          <t>FBM shipping</t>
        </is>
      </c>
      <c r="B11" s="11" t="n">
        <v>0</v>
      </c>
      <c r="C11" s="11">
        <f>-C4*Assumptions!$B$16</f>
        <v>-5400</v>
      </c>
    </row>
    <row r="12">
      <c r="A12" s="5" t="inlineStr">
        <is>
          <t>Amazon plan (monthly)</t>
        </is>
      </c>
      <c r="B12" s="11">
        <f>-Assumptions!$B$13</f>
        <v>-40</v>
      </c>
      <c r="C12" s="11">
        <f>-Assumptions!$B$13</f>
        <v>-40</v>
      </c>
    </row>
    <row r="13">
      <c r="A13" s="5" t="inlineStr">
        <is>
          <t>Labor (Amazon share)</t>
        </is>
      </c>
      <c r="B13" s="11">
        <f>-Assumptions!$B$22</f>
        <v>-7800</v>
      </c>
      <c r="C13" s="11">
        <f>-Assumptions!$B$22</f>
        <v>-7800</v>
      </c>
    </row>
    <row r="14">
      <c r="A14" s="17" t="inlineStr">
        <is>
          <t>Net operating profit</t>
        </is>
      </c>
      <c r="B14" s="22">
        <f>B7+B8+B9+B10+B11+B12+B13</f>
        <v>1610</v>
      </c>
      <c r="C14" s="22">
        <f>C7+C8+C9+C10+C11+C12+C13</f>
        <v>710</v>
      </c>
    </row>
    <row r="15">
      <c r="A15" s="17" t="inlineStr">
        <is>
          <t>Net margin %</t>
        </is>
      </c>
      <c r="B15" s="20">
        <f>B14/B5</f>
        <v>0.05962962962962963</v>
      </c>
      <c r="C15" s="20">
        <f>C14/C5</f>
        <v>0.026296296296296297</v>
      </c>
    </row>
    <row r="17">
      <c r="A17" s="17" t="inlineStr">
        <is>
          <t>Supporting metrics</t>
        </is>
      </c>
    </row>
    <row r="18">
      <c r="A18" s="5" t="inlineStr">
        <is>
          <t>Contribution / unit</t>
        </is>
      </c>
      <c r="B18" s="16">
        <f>'Per-Unit'!B12</f>
        <v>10.5</v>
      </c>
      <c r="C18" s="16">
        <f>'Per-Unit'!C12</f>
        <v>9.5</v>
      </c>
    </row>
    <row r="19">
      <c r="A19" s="5" t="inlineStr">
        <is>
          <t>Fixed costs / month (plan + labor)</t>
        </is>
      </c>
      <c r="B19" s="11">
        <f>Assumptions!$B$13+Assumptions!$B$22</f>
        <v>7840</v>
      </c>
      <c r="C19" s="11">
        <f>Assumptions!$B$13+Assumptions!$B$22</f>
        <v>7840</v>
      </c>
    </row>
    <row r="20">
      <c r="A20" s="5" t="inlineStr">
        <is>
          <t>Break-even units / month</t>
        </is>
      </c>
      <c r="B20" s="12">
        <f>B19/B18</f>
        <v>746.6666666666666</v>
      </c>
      <c r="C20" s="12">
        <f>C19/C18</f>
        <v>825.2631578947369</v>
      </c>
    </row>
    <row r="21">
      <c r="A21" s="5" t="inlineStr">
        <is>
          <t>Labor capacity (units)</t>
        </is>
      </c>
      <c r="B21" s="12">
        <f>Assumptions!$B$33</f>
        <v>2100</v>
      </c>
      <c r="C21" s="12">
        <f>Assumptions!$B$32</f>
        <v>1050</v>
      </c>
    </row>
    <row r="22">
      <c r="A22" s="5" t="inlineStr">
        <is>
          <t>Capacity utilization %</t>
        </is>
      </c>
      <c r="B22" s="7">
        <f>B4/B21</f>
        <v>0.42857142857142855</v>
      </c>
      <c r="C22" s="7">
        <f>C4/C21</f>
        <v>0.8571428571428571</v>
      </c>
    </row>
    <row r="24">
      <c r="A24" s="17" t="inlineStr">
        <is>
          <t>Verdict</t>
        </is>
      </c>
      <c r="B24" s="23" t="str">
        <f>IF(B14&gt;C14,"FBA nets more here","FBM nets more here")</f>
        <v>FBA nets more here</v>
      </c>
    </row>
    <row r="25">
      <c r="A25" t="inlineStr">
        <is>
          <t>Difference (FBA − FBM) / month</t>
        </is>
      </c>
      <c r="B25" s="24">
        <f>B14-C14</f>
        <v>900</v>
      </c>
    </row>
    <row r="27">
      <c r="A27" s="13" t="inlineStr">
        <is>
          <t>Same wage bill both ways, but FBM staff process fewer orders each (they pack &amp; ship), so FBM caps out sooner as volume grows. FBM avoids FBA fees + storage risk on unsold one-off pawn items; FBA scales further on the same headcount. Change the blue inputs to test ABC's real numbers.</t>
        </is>
      </c>
    </row>
    <row r="28"/>
    <row r="29"/>
    <row r="30"/>
  </sheetData>
  <mergeCells count="2">
    <mergeCell ref="B24:C24"/>
    <mergeCell ref="A27:C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12-Month Projection — FBA vs FBM</t>
        </is>
      </c>
    </row>
    <row r="2">
      <c r="A2" s="2" t="inlineStr">
        <is>
          <t>Demand grows from Month-1 units at the growth rate; each method is capped at its labor capacity.</t>
        </is>
      </c>
    </row>
    <row r="4">
      <c r="A4" s="25" t="inlineStr">
        <is>
          <t>Month</t>
        </is>
      </c>
      <c r="B4" s="25" t="inlineStr">
        <is>
          <t>Demand</t>
        </is>
      </c>
      <c r="C4" s="25" t="inlineStr">
        <is>
          <t>FBA units</t>
        </is>
      </c>
      <c r="D4" s="25" t="inlineStr">
        <is>
          <t>FBA net</t>
        </is>
      </c>
      <c r="E4" s="25" t="inlineStr">
        <is>
          <t>FBA cum.</t>
        </is>
      </c>
      <c r="F4" s="25" t="inlineStr">
        <is>
          <t>FBM units</t>
        </is>
      </c>
      <c r="G4" s="25" t="inlineStr">
        <is>
          <t>FBM net</t>
        </is>
      </c>
      <c r="H4" s="25" t="inlineStr">
        <is>
          <t>FBM cum.</t>
        </is>
      </c>
    </row>
    <row r="5">
      <c r="A5" s="26" t="n">
        <v>1</v>
      </c>
      <c r="B5" s="12">
        <f>Assumptions!$B$26</f>
        <v>700</v>
      </c>
      <c r="C5" s="12">
        <f>MIN(B5,Assumptions!$B$33)</f>
        <v>700</v>
      </c>
      <c r="D5" s="11">
        <f>C5*'Per-Unit'!$B$12-Assumptions!$B$13-Assumptions!$B$22</f>
        <v>-490</v>
      </c>
      <c r="E5" s="11">
        <f>D5</f>
        <v>-490</v>
      </c>
      <c r="F5" s="12">
        <f>MIN(B5,Assumptions!$B$32)</f>
        <v>700</v>
      </c>
      <c r="G5" s="11">
        <f>F5*'Per-Unit'!$C$12-Assumptions!$B$13-Assumptions!$B$22</f>
        <v>-1190</v>
      </c>
      <c r="H5" s="11">
        <f>G5</f>
        <v>-1190</v>
      </c>
    </row>
    <row r="6">
      <c r="A6" s="27" t="n">
        <v>2</v>
      </c>
      <c r="B6" s="28">
        <f>ROUND(B5*(1+Assumptions!$B$27),0)</f>
        <v>742</v>
      </c>
      <c r="C6" s="28">
        <f>MIN(B6,Assumptions!$B$33)</f>
        <v>742</v>
      </c>
      <c r="D6" s="29">
        <f>C6*'Per-Unit'!$B$12-Assumptions!$B$13-Assumptions!$B$22</f>
        <v>-49</v>
      </c>
      <c r="E6" s="29">
        <f>E5+D6</f>
        <v>-539</v>
      </c>
      <c r="F6" s="28">
        <f>MIN(B6,Assumptions!$B$32)</f>
        <v>742</v>
      </c>
      <c r="G6" s="29">
        <f>F6*'Per-Unit'!$C$12-Assumptions!$B$13-Assumptions!$B$22</f>
        <v>-791</v>
      </c>
      <c r="H6" s="29">
        <f>H5+G6</f>
        <v>-1981</v>
      </c>
    </row>
    <row r="7">
      <c r="A7" s="26" t="n">
        <v>3</v>
      </c>
      <c r="B7" s="12">
        <f>ROUND(B6*(1+Assumptions!$B$27),0)</f>
        <v>787</v>
      </c>
      <c r="C7" s="12">
        <f>MIN(B7,Assumptions!$B$33)</f>
        <v>787</v>
      </c>
      <c r="D7" s="11">
        <f>C7*'Per-Unit'!$B$12-Assumptions!$B$13-Assumptions!$B$22</f>
        <v>423.5</v>
      </c>
      <c r="E7" s="11">
        <f>E6+D7</f>
        <v>-115.5</v>
      </c>
      <c r="F7" s="12">
        <f>MIN(B7,Assumptions!$B$32)</f>
        <v>787</v>
      </c>
      <c r="G7" s="11">
        <f>F7*'Per-Unit'!$C$12-Assumptions!$B$13-Assumptions!$B$22</f>
        <v>-363.5</v>
      </c>
      <c r="H7" s="11">
        <f>H6+G7</f>
        <v>-2344.5</v>
      </c>
    </row>
    <row r="8">
      <c r="A8" s="27" t="n">
        <v>4</v>
      </c>
      <c r="B8" s="28">
        <f>ROUND(B7*(1+Assumptions!$B$27),0)</f>
        <v>834</v>
      </c>
      <c r="C8" s="28">
        <f>MIN(B8,Assumptions!$B$33)</f>
        <v>834</v>
      </c>
      <c r="D8" s="29">
        <f>C8*'Per-Unit'!$B$12-Assumptions!$B$13-Assumptions!$B$22</f>
        <v>917</v>
      </c>
      <c r="E8" s="29">
        <f>E7+D8</f>
        <v>801.5</v>
      </c>
      <c r="F8" s="28">
        <f>MIN(B8,Assumptions!$B$32)</f>
        <v>834</v>
      </c>
      <c r="G8" s="29">
        <f>F8*'Per-Unit'!$C$12-Assumptions!$B$13-Assumptions!$B$22</f>
        <v>83</v>
      </c>
      <c r="H8" s="29">
        <f>H7+G8</f>
        <v>-2261.5</v>
      </c>
    </row>
    <row r="9">
      <c r="A9" s="26" t="n">
        <v>5</v>
      </c>
      <c r="B9" s="12">
        <f>ROUND(B8*(1+Assumptions!$B$27),0)</f>
        <v>884</v>
      </c>
      <c r="C9" s="12">
        <f>MIN(B9,Assumptions!$B$33)</f>
        <v>884</v>
      </c>
      <c r="D9" s="11">
        <f>C9*'Per-Unit'!$B$12-Assumptions!$B$13-Assumptions!$B$22</f>
        <v>1442</v>
      </c>
      <c r="E9" s="11">
        <f>E8+D9</f>
        <v>2243.5</v>
      </c>
      <c r="F9" s="12">
        <f>MIN(B9,Assumptions!$B$32)</f>
        <v>884</v>
      </c>
      <c r="G9" s="11">
        <f>F9*'Per-Unit'!$C$12-Assumptions!$B$13-Assumptions!$B$22</f>
        <v>558</v>
      </c>
      <c r="H9" s="11">
        <f>H8+G9</f>
        <v>-1703.5</v>
      </c>
    </row>
    <row r="10">
      <c r="A10" s="27" t="n">
        <v>6</v>
      </c>
      <c r="B10" s="28">
        <f>ROUND(B9*(1+Assumptions!$B$27),0)</f>
        <v>937</v>
      </c>
      <c r="C10" s="28">
        <f>MIN(B10,Assumptions!$B$33)</f>
        <v>937</v>
      </c>
      <c r="D10" s="29">
        <f>C10*'Per-Unit'!$B$12-Assumptions!$B$13-Assumptions!$B$22</f>
        <v>1998.5</v>
      </c>
      <c r="E10" s="29">
        <f>E9+D10</f>
        <v>4242</v>
      </c>
      <c r="F10" s="28">
        <f>MIN(B10,Assumptions!$B$32)</f>
        <v>937</v>
      </c>
      <c r="G10" s="29">
        <f>F10*'Per-Unit'!$C$12-Assumptions!$B$13-Assumptions!$B$22</f>
        <v>1061.5</v>
      </c>
      <c r="H10" s="29">
        <f>H9+G10</f>
        <v>-642</v>
      </c>
    </row>
    <row r="11">
      <c r="A11" s="26" t="n">
        <v>7</v>
      </c>
      <c r="B11" s="12">
        <f>ROUND(B10*(1+Assumptions!$B$27),0)</f>
        <v>993</v>
      </c>
      <c r="C11" s="12">
        <f>MIN(B11,Assumptions!$B$33)</f>
        <v>993</v>
      </c>
      <c r="D11" s="11">
        <f>C11*'Per-Unit'!$B$12-Assumptions!$B$13-Assumptions!$B$22</f>
        <v>2586.5</v>
      </c>
      <c r="E11" s="11">
        <f>E10+D11</f>
        <v>6828.5</v>
      </c>
      <c r="F11" s="12">
        <f>MIN(B11,Assumptions!$B$32)</f>
        <v>993</v>
      </c>
      <c r="G11" s="11">
        <f>F11*'Per-Unit'!$C$12-Assumptions!$B$13-Assumptions!$B$22</f>
        <v>1593.5</v>
      </c>
      <c r="H11" s="11">
        <f>H10+G11</f>
        <v>951.5</v>
      </c>
    </row>
    <row r="12">
      <c r="A12" s="27" t="n">
        <v>8</v>
      </c>
      <c r="B12" s="28">
        <f>ROUND(B11*(1+Assumptions!$B$27),0)</f>
        <v>1053</v>
      </c>
      <c r="C12" s="28">
        <f>MIN(B12,Assumptions!$B$33)</f>
        <v>1053</v>
      </c>
      <c r="D12" s="29">
        <f>C12*'Per-Unit'!$B$12-Assumptions!$B$13-Assumptions!$B$22</f>
        <v>3216.5</v>
      </c>
      <c r="E12" s="29">
        <f>E11+D12</f>
        <v>10045</v>
      </c>
      <c r="F12" s="28">
        <f>MIN(B12,Assumptions!$B$32)</f>
        <v>1050</v>
      </c>
      <c r="G12" s="29">
        <f>F12*'Per-Unit'!$C$12-Assumptions!$B$13-Assumptions!$B$22</f>
        <v>2135</v>
      </c>
      <c r="H12" s="29">
        <f>H11+G12</f>
        <v>3086.5</v>
      </c>
    </row>
    <row r="13">
      <c r="A13" s="26" t="n">
        <v>9</v>
      </c>
      <c r="B13" s="12">
        <f>ROUND(B12*(1+Assumptions!$B$27),0)</f>
        <v>1116</v>
      </c>
      <c r="C13" s="12">
        <f>MIN(B13,Assumptions!$B$33)</f>
        <v>1116</v>
      </c>
      <c r="D13" s="11">
        <f>C13*'Per-Unit'!$B$12-Assumptions!$B$13-Assumptions!$B$22</f>
        <v>3878</v>
      </c>
      <c r="E13" s="11">
        <f>E12+D13</f>
        <v>13923</v>
      </c>
      <c r="F13" s="12">
        <f>MIN(B13,Assumptions!$B$32)</f>
        <v>1050</v>
      </c>
      <c r="G13" s="11">
        <f>F13*'Per-Unit'!$C$12-Assumptions!$B$13-Assumptions!$B$22</f>
        <v>2135</v>
      </c>
      <c r="H13" s="11">
        <f>H12+G13</f>
        <v>5221.5</v>
      </c>
    </row>
    <row r="14">
      <c r="A14" s="27" t="n">
        <v>10</v>
      </c>
      <c r="B14" s="28">
        <f>ROUND(B13*(1+Assumptions!$B$27),0)</f>
        <v>1183</v>
      </c>
      <c r="C14" s="28">
        <f>MIN(B14,Assumptions!$B$33)</f>
        <v>1183</v>
      </c>
      <c r="D14" s="29">
        <f>C14*'Per-Unit'!$B$12-Assumptions!$B$13-Assumptions!$B$22</f>
        <v>4581.5</v>
      </c>
      <c r="E14" s="29">
        <f>E13+D14</f>
        <v>18504.5</v>
      </c>
      <c r="F14" s="28">
        <f>MIN(B14,Assumptions!$B$32)</f>
        <v>1050</v>
      </c>
      <c r="G14" s="29">
        <f>F14*'Per-Unit'!$C$12-Assumptions!$B$13-Assumptions!$B$22</f>
        <v>2135</v>
      </c>
      <c r="H14" s="29">
        <f>H13+G14</f>
        <v>7356.5</v>
      </c>
    </row>
    <row r="15">
      <c r="A15" s="26" t="n">
        <v>11</v>
      </c>
      <c r="B15" s="12">
        <f>ROUND(B14*(1+Assumptions!$B$27),0)</f>
        <v>1254</v>
      </c>
      <c r="C15" s="12">
        <f>MIN(B15,Assumptions!$B$33)</f>
        <v>1254</v>
      </c>
      <c r="D15" s="11">
        <f>C15*'Per-Unit'!$B$12-Assumptions!$B$13-Assumptions!$B$22</f>
        <v>5327</v>
      </c>
      <c r="E15" s="11">
        <f>E14+D15</f>
        <v>23831.5</v>
      </c>
      <c r="F15" s="12">
        <f>MIN(B15,Assumptions!$B$32)</f>
        <v>1050</v>
      </c>
      <c r="G15" s="11">
        <f>F15*'Per-Unit'!$C$12-Assumptions!$B$13-Assumptions!$B$22</f>
        <v>2135</v>
      </c>
      <c r="H15" s="11">
        <f>H14+G15</f>
        <v>9491.5</v>
      </c>
    </row>
    <row r="16">
      <c r="A16" s="27" t="n">
        <v>12</v>
      </c>
      <c r="B16" s="28">
        <f>ROUND(B15*(1+Assumptions!$B$27),0)</f>
        <v>1329</v>
      </c>
      <c r="C16" s="28">
        <f>MIN(B16,Assumptions!$B$33)</f>
        <v>1329</v>
      </c>
      <c r="D16" s="29">
        <f>C16*'Per-Unit'!$B$12-Assumptions!$B$13-Assumptions!$B$22</f>
        <v>6114.5</v>
      </c>
      <c r="E16" s="29">
        <f>E15+D16</f>
        <v>29946</v>
      </c>
      <c r="F16" s="28">
        <f>MIN(B16,Assumptions!$B$32)</f>
        <v>1050</v>
      </c>
      <c r="G16" s="29">
        <f>F16*'Per-Unit'!$C$12-Assumptions!$B$13-Assumptions!$B$22</f>
        <v>2135</v>
      </c>
      <c r="H16" s="29">
        <f>H15+G16</f>
        <v>11626.5</v>
      </c>
    </row>
    <row r="17">
      <c r="A17" s="30" t="inlineStr">
        <is>
          <t>Total</t>
        </is>
      </c>
      <c r="B17" s="31">
        <f>SUM(B5:B16)</f>
        <v>11812</v>
      </c>
      <c r="C17" s="31">
        <f>SUM(C5:C16)</f>
        <v>11812</v>
      </c>
      <c r="D17" s="32">
        <f>SUM(D5:D16)</f>
        <v>29946</v>
      </c>
      <c r="E17" s="30" t="n"/>
      <c r="F17" s="31">
        <f>SUM(F5:F16)</f>
        <v>11127</v>
      </c>
      <c r="G17" s="32">
        <f>SUM(G5:G16)</f>
        <v>11626.5</v>
      </c>
      <c r="H17" s="30" t="n"/>
    </row>
    <row r="19">
      <c r="A19" s="17" t="inlineStr">
        <is>
          <t>Year-1 net — FBA</t>
        </is>
      </c>
      <c r="C19" s="33">
        <f>D17</f>
        <v>29946</v>
      </c>
    </row>
    <row r="20">
      <c r="A20" s="17" t="inlineStr">
        <is>
          <t>Year-1 net — FBM</t>
        </is>
      </c>
      <c r="C20" s="33">
        <f>G17</f>
        <v>11626.5</v>
      </c>
    </row>
    <row r="21">
      <c r="A21" s="17" t="inlineStr">
        <is>
          <t>Advantage (FBA − FBM)</t>
        </is>
      </c>
      <c r="C21" s="34">
        <f>D17-G17</f>
        <v>18319.5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2026-08-24T14:28:03Z</dcterms:created>
  <dcterms:modified xsi:type="dcterms:W3CDTF">2026-08-24T14:28:03Z</dcterms:modified>
</cp:coreProperties>
</file>