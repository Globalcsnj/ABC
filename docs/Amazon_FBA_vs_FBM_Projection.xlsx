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er-Unit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Projection" sheetId="4" state="visible" r:id="rId4"/>
    <sheet xmlns:r="http://schemas.openxmlformats.org/officeDocument/2006/relationships" name="Break-Even" sheetId="5" state="visible" r:id="rId5"/>
    <sheet xmlns:r="http://schemas.openxmlformats.org/officeDocument/2006/relationships" name="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($#,##0.00);-"/>
    <numFmt numFmtId="165" formatCode="0.0%"/>
    <numFmt numFmtId="166" formatCode="$#,##0;($#,##0);-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b val="1"/>
      <color rgb="00B26A16"/>
    </font>
    <font>
      <name val="Arial"/>
      <b val="1"/>
      <color rgb="002F7A54"/>
    </font>
  </fonts>
  <fills count="7">
    <fill>
      <patternFill/>
    </fill>
    <fill>
      <patternFill patternType="gray125"/>
    </fill>
    <fill>
      <patternFill patternType="solid">
        <fgColor rgb="00B26A16"/>
      </patternFill>
    </fill>
    <fill>
      <patternFill patternType="solid">
        <fgColor rgb="00FFFF00"/>
      </patternFill>
    </fill>
    <fill>
      <patternFill patternType="solid">
        <fgColor rgb="001B2A4A"/>
      </patternFill>
    </fill>
    <fill>
      <patternFill patternType="solid">
        <fgColor rgb="00E1F0E7"/>
      </patternFill>
    </fill>
    <fill>
      <patternFill patternType="solid">
        <fgColor rgb="00F3EFE7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1B2A4A"/>
      </top>
      <bottom style="thin">
        <color rgb="00CCCCCC"/>
      </bottom>
    </border>
    <border>
      <top style="medium">
        <color rgb="001B2A4A"/>
      </top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165" fontId="4" fillId="0" borderId="1" pivotButton="0" quotePrefix="0" xfId="0"/>
    <xf numFmtId="165" fontId="5" fillId="3" borderId="1" pivotButton="0" quotePrefix="0" xfId="0"/>
    <xf numFmtId="166" fontId="5" fillId="3" borderId="1" pivotButton="0" quotePrefix="0" xfId="0"/>
    <xf numFmtId="3" fontId="5" fillId="3" borderId="1" pivotButton="0" quotePrefix="0" xfId="0"/>
    <xf numFmtId="166" fontId="4" fillId="0" borderId="1" pivotButton="0" quotePrefix="0" xfId="0"/>
    <xf numFmtId="3" fontId="4" fillId="0" borderId="1" pivotButton="0" quotePrefix="0" xfId="0"/>
    <xf numFmtId="0" fontId="2" fillId="0" borderId="0" applyAlignment="1" pivotButton="0" quotePrefix="0" xfId="0">
      <alignment vertical="top" wrapText="1"/>
    </xf>
    <xf numFmtId="0" fontId="6" fillId="4" borderId="0" applyAlignment="1" pivotButton="0" quotePrefix="0" xfId="0">
      <alignment horizontal="left"/>
    </xf>
    <xf numFmtId="0" fontId="6" fillId="4" borderId="0" applyAlignment="1" pivotButton="0" quotePrefix="0" xfId="0">
      <alignment horizontal="center"/>
    </xf>
    <xf numFmtId="164" fontId="4" fillId="0" borderId="1" pivotButton="0" quotePrefix="0" xfId="0"/>
    <xf numFmtId="0" fontId="7" fillId="0" borderId="0" pivotButton="0" quotePrefix="0" xfId="0"/>
    <xf numFmtId="164" fontId="7" fillId="0" borderId="1" pivotButton="0" quotePrefix="0" xfId="0"/>
    <xf numFmtId="164" fontId="7" fillId="5" borderId="2" pivotButton="0" quotePrefix="0" xfId="0"/>
    <xf numFmtId="165" fontId="7" fillId="0" borderId="1" pivotButton="0" quotePrefix="0" xfId="0"/>
    <xf numFmtId="166" fontId="7" fillId="0" borderId="1" pivotButton="0" quotePrefix="0" xfId="0"/>
    <xf numFmtId="166" fontId="7" fillId="5" borderId="2" pivotButton="0" quotePrefix="0" xfId="0"/>
    <xf numFmtId="0" fontId="8" fillId="0" borderId="0" pivotButton="0" quotePrefix="0" xfId="0"/>
    <xf numFmtId="166" fontId="7" fillId="0" borderId="0" pivotButton="0" quotePrefix="0" xfId="0"/>
    <xf numFmtId="0" fontId="6" fillId="4" borderId="1" applyAlignment="1" pivotButton="0" quotePrefix="0" xfId="0">
      <alignment horizontal="center" wrapText="1"/>
    </xf>
    <xf numFmtId="1" fontId="4" fillId="0" borderId="0" applyAlignment="1" pivotButton="0" quotePrefix="0" xfId="0">
      <alignment horizontal="center"/>
    </xf>
    <xf numFmtId="1" fontId="4" fillId="6" borderId="0" applyAlignment="1" pivotButton="0" quotePrefix="0" xfId="0">
      <alignment horizontal="center"/>
    </xf>
    <xf numFmtId="3" fontId="4" fillId="6" borderId="1" pivotButton="0" quotePrefix="0" xfId="0"/>
    <xf numFmtId="166" fontId="4" fillId="6" borderId="1" pivotButton="0" quotePrefix="0" xfId="0"/>
    <xf numFmtId="0" fontId="7" fillId="0" borderId="3" pivotButton="0" quotePrefix="0" xfId="0"/>
    <xf numFmtId="3" fontId="7" fillId="0" borderId="3" pivotButton="0" quotePrefix="0" xfId="0"/>
    <xf numFmtId="166" fontId="7" fillId="0" borderId="3" pivotButton="0" quotePrefix="0" xfId="0"/>
    <xf numFmtId="166" fontId="9" fillId="0" borderId="0" pivotButton="0" quotePrefix="0" xfId="0"/>
    <xf numFmtId="166" fontId="8" fillId="0" borderId="0" pivotButton="0" quotePrefix="0" xfId="0"/>
    <xf numFmtId="0" fontId="6" fillId="4" borderId="1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3" fontId="8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  <xf numFmtId="0" fontId="4" fillId="6" borderId="1" pivotButton="0" quotePrefix="0" xfId="0"/>
    <xf numFmtId="0" fontId="4" fillId="6" borderId="1" applyAlignment="1" pivotButton="0" quotePrefix="0" xfId="0">
      <alignment horizontal="center"/>
    </xf>
    <xf numFmtId="164" fontId="0" fillId="6" borderId="1" pivotButton="0" quotePrefix="0" xfId="0"/>
    <xf numFmtId="3" fontId="0" fillId="6" borderId="1" pivotButton="0" quotePrefix="0" xfId="0"/>
    <xf numFmtId="166" fontId="0" fillId="6" borderId="1" pivotButton="0" quotePrefix="0" xfId="0"/>
    <xf numFmtId="165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Net Profit — FBA vs FBM</a:t>
            </a:r>
          </a:p>
        </rich>
      </tx>
    </title>
    <plotArea>
      <lineChart>
        <grouping val="standard"/>
        <ser>
          <idx val="0"/>
          <order val="0"/>
          <tx>
            <strRef>
              <f>'Projection'!E4</f>
            </strRef>
          </tx>
          <spPr>
            <a:ln xmlns:a="http://schemas.openxmlformats.org/drawingml/2006/main" w="28000">
              <a:solidFill>
                <a:srgbClr val="B26A1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'Projection'!$A$5:$A$16</f>
            </numRef>
          </cat>
          <val>
            <numRef>
              <f>'Projection'!$E$5:$E$16</f>
            </numRef>
          </val>
        </ser>
        <ser>
          <idx val="1"/>
          <order val="1"/>
          <tx>
            <strRef>
              <f>'Projection'!H4</f>
            </strRef>
          </tx>
          <spPr>
            <a:ln xmlns:a="http://schemas.openxmlformats.org/drawingml/2006/main" w="28000">
              <a:solidFill>
                <a:srgbClr val="1B2A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'Projection'!$A$5:$A$16</f>
            </numRef>
          </cat>
          <val>
            <numRef>
              <f>'Projection'!$H$5:$H$16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Profit vs Monthly Units</a:t>
            </a:r>
          </a:p>
        </rich>
      </tx>
    </title>
    <plotArea>
      <lineChart>
        <grouping val="standard"/>
        <ser>
          <idx val="0"/>
          <order val="0"/>
          <tx>
            <strRef>
              <f>'Break-Even'!B4</f>
            </strRef>
          </tx>
          <spPr>
            <a:ln xmlns:a="http://schemas.openxmlformats.org/drawingml/2006/main" w="28000">
              <a:solidFill>
                <a:srgbClr val="B26A1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'Break-Even'!$A$5:$A$20</f>
            </numRef>
          </cat>
          <val>
            <numRef>
              <f>'Break-Even'!$B$5:$B$20</f>
            </numRef>
          </val>
        </ser>
        <ser>
          <idx val="1"/>
          <order val="1"/>
          <tx>
            <strRef>
              <f>'Break-Even'!C4</f>
            </strRef>
          </tx>
          <spPr>
            <a:ln xmlns:a="http://schemas.openxmlformats.org/drawingml/2006/main" w="28000">
              <a:solidFill>
                <a:srgbClr val="1B2A4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'Break-Even'!$A$5:$A$20</f>
            </numRef>
          </cat>
          <val>
            <numRef>
              <f>'Break-Even'!$C$5:$C$20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 /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profit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Profit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'Scenarios'!$A$5:$A$8</f>
            </numRef>
          </cat>
          <val>
            <numRef>
              <f>'Scenarios'!$F$5:$F$8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@ snapshot 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ABC</author>
  </authors>
  <commentList>
    <comment ref="B11" authorId="0" shapeId="0">
      <text>
        <t>2026 FBA fulfillment ~$3-5 for small/standard items. Source: amzprep.com/amazon-fba-fees.</t>
      </text>
    </comment>
    <comment ref="B22" authorId="0" shapeId="0">
      <text>
        <t>Your point: with FBA you only use employees you already have at the store, so the incremental payroll is $0.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58" customWidth="1" min="3" max="3"/>
  </cols>
  <sheetData>
    <row r="1">
      <c r="A1" s="1" t="inlineStr">
        <is>
          <t>ABC MoneyLoan — Amazon Reseller Projection</t>
        </is>
      </c>
    </row>
    <row r="2">
      <c r="A2" s="2" t="inlineStr">
        <is>
          <t>FBA vs FBM · 3 employees · 66.6% gross margin · FBA uses existing store staff</t>
        </is>
      </c>
    </row>
    <row r="4">
      <c r="A4" s="3" t="inlineStr">
        <is>
          <t>ITEM ECONOMICS</t>
        </is>
      </c>
      <c r="B4" s="4" t="n"/>
      <c r="C4" s="4" t="n"/>
    </row>
    <row r="5">
      <c r="A5" s="5" t="inlineStr">
        <is>
          <t>Average selling price</t>
        </is>
      </c>
      <c r="B5" s="6" t="n">
        <v>30</v>
      </c>
      <c r="C5" s="2" t="inlineStr">
        <is>
          <t>Editable. Typical resale price per item.</t>
        </is>
      </c>
    </row>
    <row r="6">
      <c r="A6" s="5" t="inlineStr">
        <is>
          <t>Average product cost (COGS)</t>
        </is>
      </c>
      <c r="B6" s="6" t="n">
        <v>10</v>
      </c>
      <c r="C6" s="2" t="inlineStr">
        <is>
          <t>What the item costs ABC (pawn basis).</t>
        </is>
      </c>
    </row>
    <row r="7">
      <c r="A7" s="5" t="inlineStr">
        <is>
          <t>Gross margin %</t>
        </is>
      </c>
      <c r="B7" s="7">
        <f>1-B6/B5</f>
        <v>0.6666666666666667</v>
      </c>
      <c r="C7" s="2" t="inlineStr">
        <is>
          <t>Equals 1 − cost/price. Target 66.6%.</t>
        </is>
      </c>
    </row>
    <row r="9">
      <c r="A9" s="3" t="inlineStr">
        <is>
          <t>AMAZON FEES</t>
        </is>
      </c>
      <c r="B9" s="4" t="n"/>
      <c r="C9" s="4" t="n"/>
    </row>
    <row r="10">
      <c r="A10" s="5" t="inlineStr">
        <is>
          <t>Referral commission %</t>
        </is>
      </c>
      <c r="B10" s="8" t="n">
        <v>0.15</v>
      </c>
      <c r="C10" s="2" t="inlineStr">
        <is>
          <t>Per item. 8% electronics … 15% most goods.</t>
        </is>
      </c>
    </row>
    <row r="11">
      <c r="A11" s="5" t="inlineStr">
        <is>
          <t>FBA fulfillment fee / item</t>
        </is>
      </c>
      <c r="B11" s="6" t="n">
        <v>4.5</v>
      </c>
      <c r="C11" s="2" t="inlineStr">
        <is>
          <t>Flat pick/pack/ship (2026 ~$3–5). FBA only.</t>
        </is>
      </c>
    </row>
    <row r="12">
      <c r="A12" s="5" t="inlineStr">
        <is>
          <t>FBA storage / item (avg)</t>
        </is>
      </c>
      <c r="B12" s="6" t="n">
        <v>0.5</v>
      </c>
      <c r="C12" s="2" t="inlineStr">
        <is>
          <t>Monthly storage until it sells. FBA only.</t>
        </is>
      </c>
    </row>
    <row r="13">
      <c r="A13" s="5" t="inlineStr">
        <is>
          <t>Amazon Professional plan / month</t>
        </is>
      </c>
      <c r="B13" s="9" t="n">
        <v>40</v>
      </c>
      <c r="C13" s="2" t="inlineStr">
        <is>
          <t>Flat monthly overhead (both methods).</t>
        </is>
      </c>
    </row>
    <row r="15">
      <c r="A15" s="3" t="inlineStr">
        <is>
          <t>FBM (SELF-FULFILL)</t>
        </is>
      </c>
      <c r="B15" s="4" t="n"/>
      <c r="C15" s="4" t="n"/>
    </row>
    <row r="16">
      <c r="A16" s="5" t="inlineStr">
        <is>
          <t>FBM outbound shipping / item</t>
        </is>
      </c>
      <c r="B16" s="6" t="n">
        <v>6</v>
      </c>
      <c r="C16" s="2" t="inlineStr">
        <is>
          <t>Postage + box ABC pays to ship to buyer.</t>
        </is>
      </c>
    </row>
    <row r="18">
      <c r="A18" s="3" t="inlineStr">
        <is>
          <t>LABOR  (key difference between the two)</t>
        </is>
      </c>
      <c r="B18" s="4" t="n"/>
      <c r="C18" s="4" t="n"/>
    </row>
    <row r="19">
      <c r="A19" s="5" t="inlineStr">
        <is>
          <t>Number of employees</t>
        </is>
      </c>
      <c r="B19" s="10" t="n">
        <v>3</v>
      </c>
      <c r="C19" s="2" t="inlineStr">
        <is>
          <t>Existing store staff.</t>
        </is>
      </c>
    </row>
    <row r="20">
      <c r="A20" s="5" t="inlineStr">
        <is>
          <t>Wage per employee / month</t>
        </is>
      </c>
      <c r="B20" s="9" t="n">
        <v>2600</v>
      </c>
      <c r="C20" s="2" t="inlineStr">
        <is>
          <t>Assumption ≈ $15/hr full-time. Set to actual.</t>
        </is>
      </c>
    </row>
    <row r="21">
      <c r="A21" s="5" t="inlineStr">
        <is>
          <t>Store payroll (reference)</t>
        </is>
      </c>
      <c r="B21" s="11">
        <f>B19*B20</f>
        <v>7800</v>
      </c>
      <c r="C21" s="2" t="inlineStr">
        <is>
          <t>Employees × wage. Already paid for the shop.</t>
        </is>
      </c>
    </row>
    <row r="22">
      <c r="A22" s="5" t="inlineStr">
        <is>
          <t>FBA labor charged to Amazon (% payroll)</t>
        </is>
      </c>
      <c r="B22" s="8" t="n">
        <v>0</v>
      </c>
      <c r="C22" s="2" t="inlineStr">
        <is>
          <t>0% = existing staff list in spare time; no new payroll.</t>
        </is>
      </c>
    </row>
    <row r="23">
      <c r="A23" s="5" t="inlineStr">
        <is>
          <t>FBM labor charged to Amazon (% payroll)</t>
        </is>
      </c>
      <c r="B23" s="8" t="n">
        <v>1</v>
      </c>
      <c r="C23" s="2" t="inlineStr">
        <is>
          <t>Packing &amp; shipping is real added work — a dedicated crew.</t>
        </is>
      </c>
    </row>
    <row r="24">
      <c r="A24" s="5" t="inlineStr">
        <is>
          <t>FBA monthly labor</t>
        </is>
      </c>
      <c r="B24" s="11">
        <f>B21*B22</f>
        <v>0</v>
      </c>
      <c r="C24" s="2" t="inlineStr">
        <is>
          <t>Payroll × FBA share.</t>
        </is>
      </c>
    </row>
    <row r="25">
      <c r="A25" s="5" t="inlineStr">
        <is>
          <t>FBM monthly labor</t>
        </is>
      </c>
      <c r="B25" s="11">
        <f>B21*B23</f>
        <v>7800</v>
      </c>
      <c r="C25" s="2" t="inlineStr">
        <is>
          <t>Payroll × FBM share.</t>
        </is>
      </c>
    </row>
    <row r="27">
      <c r="A27" s="3" t="inlineStr">
        <is>
          <t>VOLUME</t>
        </is>
      </c>
      <c r="B27" s="4" t="n"/>
      <c r="C27" s="4" t="n"/>
    </row>
    <row r="28">
      <c r="A28" s="5" t="inlineStr">
        <is>
          <t>Units / month — snapshot</t>
        </is>
      </c>
      <c r="B28" s="10" t="n">
        <v>900</v>
      </c>
      <c r="C28" s="2" t="inlineStr">
        <is>
          <t>Volume used on the 'Monthly' sheet.</t>
        </is>
      </c>
    </row>
    <row r="29">
      <c r="A29" s="5" t="inlineStr">
        <is>
          <t>Month-1 units (projection)</t>
        </is>
      </c>
      <c r="B29" s="10" t="n">
        <v>700</v>
      </c>
      <c r="C29" s="2" t="inlineStr">
        <is>
          <t>Starting volume for the 12-month projection.</t>
        </is>
      </c>
    </row>
    <row r="30">
      <c r="A30" s="5" t="inlineStr">
        <is>
          <t>Monthly growth rate</t>
        </is>
      </c>
      <c r="B30" s="8" t="n">
        <v>0.06</v>
      </c>
      <c r="C30" s="2" t="inlineStr">
        <is>
          <t>Unit growth applied each month.</t>
        </is>
      </c>
    </row>
    <row r="32">
      <c r="A32" s="3" t="inlineStr">
        <is>
          <t>LABOR CAPACITY (units / employee / month)</t>
        </is>
      </c>
      <c r="B32" s="4" t="n"/>
      <c r="C32" s="4" t="n"/>
    </row>
    <row r="33">
      <c r="A33" s="5" t="inlineStr">
        <is>
          <t>FBM capacity / employee</t>
        </is>
      </c>
      <c r="B33" s="10" t="n">
        <v>350</v>
      </c>
      <c r="C33" s="2" t="inlineStr">
        <is>
          <t>Fewer — staff pack &amp; ship every order.</t>
        </is>
      </c>
    </row>
    <row r="34">
      <c r="A34" s="5" t="inlineStr">
        <is>
          <t>FBA capacity / employee</t>
        </is>
      </c>
      <c r="B34" s="10" t="n">
        <v>700</v>
      </c>
      <c r="C34" s="2" t="inlineStr">
        <is>
          <t>More — Amazon fulfills; staff source &amp; list only.</t>
        </is>
      </c>
    </row>
    <row r="35">
      <c r="A35" s="5" t="inlineStr">
        <is>
          <t>FBM total capacity</t>
        </is>
      </c>
      <c r="B35" s="12">
        <f>B19*B33</f>
        <v>1050</v>
      </c>
      <c r="C35" s="2" t="inlineStr">
        <is>
          <t>Employees × FBM capacity.</t>
        </is>
      </c>
    </row>
    <row r="36">
      <c r="A36" s="5" t="inlineStr">
        <is>
          <t>FBA total capacity</t>
        </is>
      </c>
      <c r="B36" s="12">
        <f>B19*B34</f>
        <v>2100</v>
      </c>
      <c r="C36" s="2" t="inlineStr">
        <is>
          <t>Employees × FBA capacity.</t>
        </is>
      </c>
    </row>
    <row r="38">
      <c r="A38" s="13" t="inlineStr">
        <is>
          <t>Blue = editable input (yellow). Black = formula. KEY: FBA labor defaults to 0% — with FBA, Amazon fulfills, so existing store staff run it in spare time and ABC adds no payroll. FBM defaults to 100% because packing &amp; shipping ties up a dedicated crew. If existing staff also cover FBM in spare time, lower B23 — but then the FBM capacity limit (B35) bites sooner. Fee/storage are 2026 estimates; confirm in Seller Central.</t>
        </is>
      </c>
    </row>
    <row r="39"/>
    <row r="40"/>
    <row r="41"/>
  </sheetData>
  <mergeCells count="1">
    <mergeCell ref="A38:C4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1" t="inlineStr">
        <is>
          <t>Per-Unit Economics</t>
        </is>
      </c>
    </row>
    <row r="2">
      <c r="A2" s="2" t="inlineStr">
        <is>
          <t>One average item, before monthly overhead (plan + any labor)</t>
        </is>
      </c>
    </row>
    <row r="3">
      <c r="A3" s="14" t="inlineStr">
        <is>
          <t>Per item</t>
        </is>
      </c>
      <c r="B3" s="15" t="inlineStr">
        <is>
          <t>FBA</t>
        </is>
      </c>
      <c r="C3" s="15" t="inlineStr">
        <is>
          <t>FBM</t>
        </is>
      </c>
    </row>
    <row r="4">
      <c r="A4" s="5" t="inlineStr">
        <is>
          <t>Selling price</t>
        </is>
      </c>
      <c r="B4" s="16">
        <f>Assumptions!$B$5</f>
        <v>30</v>
      </c>
      <c r="C4" s="16">
        <f>Assumptions!$B$5</f>
        <v>30</v>
      </c>
    </row>
    <row r="5">
      <c r="A5" s="5" t="inlineStr">
        <is>
          <t>Product cost (COGS)</t>
        </is>
      </c>
      <c r="B5" s="16">
        <f>-Assumptions!$B$6</f>
        <v>-10</v>
      </c>
      <c r="C5" s="16">
        <f>-Assumptions!$B$6</f>
        <v>-10</v>
      </c>
    </row>
    <row r="6">
      <c r="A6" s="17" t="inlineStr">
        <is>
          <t>Gross profit</t>
        </is>
      </c>
      <c r="B6" s="18">
        <f>B4+B5</f>
        <v>20</v>
      </c>
      <c r="C6" s="18">
        <f>C4+C5</f>
        <v>20</v>
      </c>
    </row>
    <row r="7">
      <c r="A7" s="5" t="inlineStr">
        <is>
          <t>Gross margin %</t>
        </is>
      </c>
      <c r="B7" s="7">
        <f>B6/B4</f>
        <v>0.6666666666666666</v>
      </c>
      <c r="C7" s="7">
        <f>C6/C4</f>
        <v>0.6666666666666666</v>
      </c>
    </row>
    <row r="8">
      <c r="A8" s="5" t="inlineStr">
        <is>
          <t>Referral fee</t>
        </is>
      </c>
      <c r="B8" s="16">
        <f>-B4*Assumptions!$B$10</f>
        <v>-4.5</v>
      </c>
      <c r="C8" s="16">
        <f>-C4*Assumptions!$B$10</f>
        <v>-4.5</v>
      </c>
    </row>
    <row r="9">
      <c r="A9" s="5" t="inlineStr">
        <is>
          <t>FBA fulfillment fee</t>
        </is>
      </c>
      <c r="B9" s="16">
        <f>-Assumptions!$B$11</f>
        <v>-4.5</v>
      </c>
      <c r="C9" s="16" t="n">
        <v>0</v>
      </c>
    </row>
    <row r="10">
      <c r="A10" s="5" t="inlineStr">
        <is>
          <t>FBA storage</t>
        </is>
      </c>
      <c r="B10" s="16">
        <f>-Assumptions!$B$12</f>
        <v>-0.5</v>
      </c>
      <c r="C10" s="16" t="n">
        <v>0</v>
      </c>
    </row>
    <row r="11">
      <c r="A11" s="5" t="inlineStr">
        <is>
          <t>FBM shipping</t>
        </is>
      </c>
      <c r="B11" s="16" t="n">
        <v>0</v>
      </c>
      <c r="C11" s="16">
        <f>-Assumptions!$B$16</f>
        <v>-6</v>
      </c>
    </row>
    <row r="12">
      <c r="A12" s="17" t="inlineStr">
        <is>
          <t>Contribution / unit</t>
        </is>
      </c>
      <c r="B12" s="19">
        <f>B6+B8+B9+B10+B11</f>
        <v>10.5</v>
      </c>
      <c r="C12" s="19">
        <f>C6+C8+C9+C10+C11</f>
        <v>9.5</v>
      </c>
    </row>
    <row r="13">
      <c r="A13" s="17" t="inlineStr">
        <is>
          <t>Contribution margin %</t>
        </is>
      </c>
      <c r="B13" s="20">
        <f>B12/B4</f>
        <v>0.35</v>
      </c>
      <c r="C13" s="20">
        <f>C12/C4</f>
        <v>0.31666666666666665</v>
      </c>
    </row>
    <row r="16">
      <c r="A16" s="13" t="inlineStr">
        <is>
          <t>Contribution/unit = what one sale adds before the $40 plan and any labor. Labor differs by method and lives on the Monthly/Projection sheets, not here.</t>
        </is>
      </c>
    </row>
    <row r="17"/>
    <row r="18"/>
  </sheetData>
  <mergeCells count="1">
    <mergeCell ref="A16:C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1" t="inlineStr">
        <is>
          <t>Monthly P&amp;L — FBA vs FBM</t>
        </is>
      </c>
    </row>
    <row r="2">
      <c r="A2" s="2" t="inlineStr">
        <is>
          <t>Snapshot volume (Assumptions!B28), capped at capacity. FBA adds no payroll; FBM carries a dedicated crew.</t>
        </is>
      </c>
    </row>
    <row r="3">
      <c r="A3" s="14" t="inlineStr">
        <is>
          <t>Line</t>
        </is>
      </c>
      <c r="B3" s="15" t="inlineStr">
        <is>
          <t>FBA</t>
        </is>
      </c>
      <c r="C3" s="15" t="inlineStr">
        <is>
          <t>FBM</t>
        </is>
      </c>
    </row>
    <row r="4">
      <c r="A4" s="5" t="inlineStr">
        <is>
          <t>Units sold / month</t>
        </is>
      </c>
      <c r="B4" s="12">
        <f>MIN(Assumptions!$B$28,Assumptions!$B$36)</f>
        <v>900</v>
      </c>
      <c r="C4" s="12">
        <f>MIN(Assumptions!$B$28,Assumptions!$B$35)</f>
        <v>900</v>
      </c>
    </row>
    <row r="5">
      <c r="A5" s="5" t="inlineStr">
        <is>
          <t>Revenue</t>
        </is>
      </c>
      <c r="B5" s="11">
        <f>B4*Assumptions!$B$5</f>
        <v>27000</v>
      </c>
      <c r="C5" s="11">
        <f>C4*Assumptions!$B$5</f>
        <v>27000</v>
      </c>
    </row>
    <row r="6">
      <c r="A6" s="5" t="inlineStr">
        <is>
          <t>Product cost (COGS)</t>
        </is>
      </c>
      <c r="B6" s="11">
        <f>-B4*Assumptions!$B$6</f>
        <v>-9000</v>
      </c>
      <c r="C6" s="11">
        <f>-C4*Assumptions!$B$6</f>
        <v>-9000</v>
      </c>
    </row>
    <row r="7">
      <c r="A7" s="17" t="inlineStr">
        <is>
          <t>Gross profit</t>
        </is>
      </c>
      <c r="B7" s="21">
        <f>B5+B6</f>
        <v>18000</v>
      </c>
      <c r="C7" s="21">
        <f>C5+C6</f>
        <v>18000</v>
      </c>
    </row>
    <row r="8">
      <c r="A8" s="5" t="inlineStr">
        <is>
          <t>Referral fees</t>
        </is>
      </c>
      <c r="B8" s="11">
        <f>-B4*Assumptions!$B$5*Assumptions!$B$10</f>
        <v>-4050</v>
      </c>
      <c r="C8" s="11">
        <f>-C4*Assumptions!$B$5*Assumptions!$B$10</f>
        <v>-4050</v>
      </c>
    </row>
    <row r="9">
      <c r="A9" s="5" t="inlineStr">
        <is>
          <t>FBA fulfillment fees</t>
        </is>
      </c>
      <c r="B9" s="11">
        <f>-B4*Assumptions!$B$11</f>
        <v>-4050</v>
      </c>
      <c r="C9" s="11" t="n">
        <v>0</v>
      </c>
    </row>
    <row r="10">
      <c r="A10" s="5" t="inlineStr">
        <is>
          <t>FBA storage</t>
        </is>
      </c>
      <c r="B10" s="11">
        <f>-B4*Assumptions!$B$12</f>
        <v>-450</v>
      </c>
      <c r="C10" s="11" t="n">
        <v>0</v>
      </c>
    </row>
    <row r="11">
      <c r="A11" s="5" t="inlineStr">
        <is>
          <t>FBM shipping</t>
        </is>
      </c>
      <c r="B11" s="11" t="n">
        <v>0</v>
      </c>
      <c r="C11" s="11">
        <f>-C4*Assumptions!$B$16</f>
        <v>-5400</v>
      </c>
    </row>
    <row r="12">
      <c r="A12" s="5" t="inlineStr">
        <is>
          <t>Amazon plan (monthly)</t>
        </is>
      </c>
      <c r="B12" s="11">
        <f>-Assumptions!$B$13</f>
        <v>-40</v>
      </c>
      <c r="C12" s="11">
        <f>-Assumptions!$B$13</f>
        <v>-40</v>
      </c>
    </row>
    <row r="13">
      <c r="A13" s="5" t="inlineStr">
        <is>
          <t>Labor charged to Amazon</t>
        </is>
      </c>
      <c r="B13" s="11">
        <f>-Assumptions!$B$24</f>
        <v>0</v>
      </c>
      <c r="C13" s="11">
        <f>-Assumptions!$B$25</f>
        <v>-7800</v>
      </c>
    </row>
    <row r="14">
      <c r="A14" s="17" t="inlineStr">
        <is>
          <t>Net operating profit</t>
        </is>
      </c>
      <c r="B14" s="22">
        <f>B7+B8+B9+B10+B11+B12+B13</f>
        <v>9410</v>
      </c>
      <c r="C14" s="22">
        <f>C7+C8+C9+C10+C11+C12+C13</f>
        <v>710</v>
      </c>
    </row>
    <row r="15">
      <c r="A15" s="17" t="inlineStr">
        <is>
          <t>Net margin %</t>
        </is>
      </c>
      <c r="B15" s="20">
        <f>B14/B5</f>
        <v>0.3485185185185185</v>
      </c>
      <c r="C15" s="20">
        <f>C14/C5</f>
        <v>0.026296296296296297</v>
      </c>
    </row>
    <row r="17">
      <c r="A17" s="17" t="inlineStr">
        <is>
          <t>Supporting metrics</t>
        </is>
      </c>
    </row>
    <row r="18">
      <c r="A18" s="5" t="inlineStr">
        <is>
          <t>Contribution / unit</t>
        </is>
      </c>
      <c r="B18" s="16">
        <f>'Per-Unit'!B12</f>
        <v>10.5</v>
      </c>
      <c r="C18" s="16">
        <f>'Per-Unit'!C12</f>
        <v>9.5</v>
      </c>
    </row>
    <row r="19">
      <c r="A19" s="5" t="inlineStr">
        <is>
          <t>Fixed costs / month (plan + labor)</t>
        </is>
      </c>
      <c r="B19" s="11">
        <f>Assumptions!$B$13+Assumptions!$B$24</f>
        <v>40</v>
      </c>
      <c r="C19" s="11">
        <f>Assumptions!$B$13+Assumptions!$B$25</f>
        <v>7840</v>
      </c>
    </row>
    <row r="20">
      <c r="A20" s="5" t="inlineStr">
        <is>
          <t>Break-even units / month</t>
        </is>
      </c>
      <c r="B20" s="12">
        <f>B19/B18</f>
        <v>3.8095238095238093</v>
      </c>
      <c r="C20" s="12">
        <f>C19/C18</f>
        <v>825.2631578947369</v>
      </c>
    </row>
    <row r="21">
      <c r="A21" s="5" t="inlineStr">
        <is>
          <t>Labor capacity (units)</t>
        </is>
      </c>
      <c r="B21" s="12">
        <f>Assumptions!$B$36</f>
        <v>2100</v>
      </c>
      <c r="C21" s="12">
        <f>Assumptions!$B$35</f>
        <v>1050</v>
      </c>
    </row>
    <row r="22">
      <c r="A22" s="5" t="inlineStr">
        <is>
          <t>Capacity utilization %</t>
        </is>
      </c>
      <c r="B22" s="7">
        <f>B4/B21</f>
        <v>0.42857142857142855</v>
      </c>
      <c r="C22" s="7">
        <f>C4/C21</f>
        <v>0.8571428571428571</v>
      </c>
    </row>
    <row r="24">
      <c r="A24" s="17" t="inlineStr">
        <is>
          <t>Verdict</t>
        </is>
      </c>
      <c r="B24" s="23" t="str">
        <f>IF(B14&gt;C14,"FBA nets more here","FBM nets more here")</f>
        <v>FBA nets more here</v>
      </c>
    </row>
    <row r="25">
      <c r="A25" t="inlineStr">
        <is>
          <t>Difference (FBA − FBM) / month</t>
        </is>
      </c>
      <c r="B25" s="24">
        <f>B14-C14</f>
        <v>8700</v>
      </c>
    </row>
    <row r="27">
      <c r="A27" s="13" t="inlineStr">
        <is>
          <t>Big driver: FBA labor = $0 by default (existing store staff, no new payroll), while FBM carries a dedicated crew (Assumptions B23). That's why FBA looks far stronger. FBM still hits a labor-capacity ceiling as volume grows. Change the blue inputs — especially B22/B23 — to match ABC's real staffing.</t>
        </is>
      </c>
    </row>
    <row r="28"/>
    <row r="29"/>
    <row r="30"/>
    <row r="31"/>
  </sheetData>
  <mergeCells count="2">
    <mergeCell ref="B24:C24"/>
    <mergeCell ref="A27:C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12-Month Projection — FBA vs FBM</t>
        </is>
      </c>
    </row>
    <row r="2">
      <c r="A2" s="2" t="inlineStr">
        <is>
          <t>Demand grows from Month-1 units; each method capped at its labor capacity. FBA carries no new payroll.</t>
        </is>
      </c>
    </row>
    <row r="4">
      <c r="A4" s="25" t="inlineStr">
        <is>
          <t>Month</t>
        </is>
      </c>
      <c r="B4" s="25" t="inlineStr">
        <is>
          <t>Demand</t>
        </is>
      </c>
      <c r="C4" s="25" t="inlineStr">
        <is>
          <t>FBA units</t>
        </is>
      </c>
      <c r="D4" s="25" t="inlineStr">
        <is>
          <t>FBA net</t>
        </is>
      </c>
      <c r="E4" s="25" t="inlineStr">
        <is>
          <t>FBA cum.</t>
        </is>
      </c>
      <c r="F4" s="25" t="inlineStr">
        <is>
          <t>FBM units</t>
        </is>
      </c>
      <c r="G4" s="25" t="inlineStr">
        <is>
          <t>FBM net</t>
        </is>
      </c>
      <c r="H4" s="25" t="inlineStr">
        <is>
          <t>FBM cum.</t>
        </is>
      </c>
    </row>
    <row r="5">
      <c r="A5" s="26" t="n">
        <v>1</v>
      </c>
      <c r="B5" s="12">
        <f>Assumptions!$B$29</f>
        <v>700</v>
      </c>
      <c r="C5" s="12">
        <f>MIN(B5,Assumptions!$B$36)</f>
        <v>700</v>
      </c>
      <c r="D5" s="11">
        <f>C5*'Per-Unit'!$B$12-Assumptions!$B$13-Assumptions!$B$24</f>
        <v>7310</v>
      </c>
      <c r="E5" s="11">
        <f>D5</f>
        <v>7310</v>
      </c>
      <c r="F5" s="12">
        <f>MIN(B5,Assumptions!$B$35)</f>
        <v>700</v>
      </c>
      <c r="G5" s="11">
        <f>F5*'Per-Unit'!$C$12-Assumptions!$B$13-Assumptions!$B$25</f>
        <v>-1190</v>
      </c>
      <c r="H5" s="11">
        <f>G5</f>
        <v>-1190</v>
      </c>
    </row>
    <row r="6">
      <c r="A6" s="27" t="n">
        <v>2</v>
      </c>
      <c r="B6" s="28">
        <f>ROUND(B5*(1+Assumptions!$B$30),0)</f>
        <v>742</v>
      </c>
      <c r="C6" s="28">
        <f>MIN(B6,Assumptions!$B$36)</f>
        <v>742</v>
      </c>
      <c r="D6" s="29">
        <f>C6*'Per-Unit'!$B$12-Assumptions!$B$13-Assumptions!$B$24</f>
        <v>7751</v>
      </c>
      <c r="E6" s="29">
        <f>E5+D6</f>
        <v>15061</v>
      </c>
      <c r="F6" s="28">
        <f>MIN(B6,Assumptions!$B$35)</f>
        <v>742</v>
      </c>
      <c r="G6" s="29">
        <f>F6*'Per-Unit'!$C$12-Assumptions!$B$13-Assumptions!$B$25</f>
        <v>-791</v>
      </c>
      <c r="H6" s="29">
        <f>H5+G6</f>
        <v>-1981</v>
      </c>
    </row>
    <row r="7">
      <c r="A7" s="26" t="n">
        <v>3</v>
      </c>
      <c r="B7" s="12">
        <f>ROUND(B6*(1+Assumptions!$B$30),0)</f>
        <v>787</v>
      </c>
      <c r="C7" s="12">
        <f>MIN(B7,Assumptions!$B$36)</f>
        <v>787</v>
      </c>
      <c r="D7" s="11">
        <f>C7*'Per-Unit'!$B$12-Assumptions!$B$13-Assumptions!$B$24</f>
        <v>8223.5</v>
      </c>
      <c r="E7" s="11">
        <f>E6+D7</f>
        <v>23284.5</v>
      </c>
      <c r="F7" s="12">
        <f>MIN(B7,Assumptions!$B$35)</f>
        <v>787</v>
      </c>
      <c r="G7" s="11">
        <f>F7*'Per-Unit'!$C$12-Assumptions!$B$13-Assumptions!$B$25</f>
        <v>-363.5</v>
      </c>
      <c r="H7" s="11">
        <f>H6+G7</f>
        <v>-2344.5</v>
      </c>
    </row>
    <row r="8">
      <c r="A8" s="27" t="n">
        <v>4</v>
      </c>
      <c r="B8" s="28">
        <f>ROUND(B7*(1+Assumptions!$B$30),0)</f>
        <v>834</v>
      </c>
      <c r="C8" s="28">
        <f>MIN(B8,Assumptions!$B$36)</f>
        <v>834</v>
      </c>
      <c r="D8" s="29">
        <f>C8*'Per-Unit'!$B$12-Assumptions!$B$13-Assumptions!$B$24</f>
        <v>8717</v>
      </c>
      <c r="E8" s="29">
        <f>E7+D8</f>
        <v>32001.5</v>
      </c>
      <c r="F8" s="28">
        <f>MIN(B8,Assumptions!$B$35)</f>
        <v>834</v>
      </c>
      <c r="G8" s="29">
        <f>F8*'Per-Unit'!$C$12-Assumptions!$B$13-Assumptions!$B$25</f>
        <v>83</v>
      </c>
      <c r="H8" s="29">
        <f>H7+G8</f>
        <v>-2261.5</v>
      </c>
    </row>
    <row r="9">
      <c r="A9" s="26" t="n">
        <v>5</v>
      </c>
      <c r="B9" s="12">
        <f>ROUND(B8*(1+Assumptions!$B$30),0)</f>
        <v>884</v>
      </c>
      <c r="C9" s="12">
        <f>MIN(B9,Assumptions!$B$36)</f>
        <v>884</v>
      </c>
      <c r="D9" s="11">
        <f>C9*'Per-Unit'!$B$12-Assumptions!$B$13-Assumptions!$B$24</f>
        <v>9242</v>
      </c>
      <c r="E9" s="11">
        <f>E8+D9</f>
        <v>41243.5</v>
      </c>
      <c r="F9" s="12">
        <f>MIN(B9,Assumptions!$B$35)</f>
        <v>884</v>
      </c>
      <c r="G9" s="11">
        <f>F9*'Per-Unit'!$C$12-Assumptions!$B$13-Assumptions!$B$25</f>
        <v>558</v>
      </c>
      <c r="H9" s="11">
        <f>H8+G9</f>
        <v>-1703.5</v>
      </c>
    </row>
    <row r="10">
      <c r="A10" s="27" t="n">
        <v>6</v>
      </c>
      <c r="B10" s="28">
        <f>ROUND(B9*(1+Assumptions!$B$30),0)</f>
        <v>937</v>
      </c>
      <c r="C10" s="28">
        <f>MIN(B10,Assumptions!$B$36)</f>
        <v>937</v>
      </c>
      <c r="D10" s="29">
        <f>C10*'Per-Unit'!$B$12-Assumptions!$B$13-Assumptions!$B$24</f>
        <v>9798.5</v>
      </c>
      <c r="E10" s="29">
        <f>E9+D10</f>
        <v>51042</v>
      </c>
      <c r="F10" s="28">
        <f>MIN(B10,Assumptions!$B$35)</f>
        <v>937</v>
      </c>
      <c r="G10" s="29">
        <f>F10*'Per-Unit'!$C$12-Assumptions!$B$13-Assumptions!$B$25</f>
        <v>1061.5</v>
      </c>
      <c r="H10" s="29">
        <f>H9+G10</f>
        <v>-642</v>
      </c>
    </row>
    <row r="11">
      <c r="A11" s="26" t="n">
        <v>7</v>
      </c>
      <c r="B11" s="12">
        <f>ROUND(B10*(1+Assumptions!$B$30),0)</f>
        <v>993</v>
      </c>
      <c r="C11" s="12">
        <f>MIN(B11,Assumptions!$B$36)</f>
        <v>993</v>
      </c>
      <c r="D11" s="11">
        <f>C11*'Per-Unit'!$B$12-Assumptions!$B$13-Assumptions!$B$24</f>
        <v>10386.5</v>
      </c>
      <c r="E11" s="11">
        <f>E10+D11</f>
        <v>61428.5</v>
      </c>
      <c r="F11" s="12">
        <f>MIN(B11,Assumptions!$B$35)</f>
        <v>993</v>
      </c>
      <c r="G11" s="11">
        <f>F11*'Per-Unit'!$C$12-Assumptions!$B$13-Assumptions!$B$25</f>
        <v>1593.5</v>
      </c>
      <c r="H11" s="11">
        <f>H10+G11</f>
        <v>951.5</v>
      </c>
    </row>
    <row r="12">
      <c r="A12" s="27" t="n">
        <v>8</v>
      </c>
      <c r="B12" s="28">
        <f>ROUND(B11*(1+Assumptions!$B$30),0)</f>
        <v>1053</v>
      </c>
      <c r="C12" s="28">
        <f>MIN(B12,Assumptions!$B$36)</f>
        <v>1053</v>
      </c>
      <c r="D12" s="29">
        <f>C12*'Per-Unit'!$B$12-Assumptions!$B$13-Assumptions!$B$24</f>
        <v>11016.5</v>
      </c>
      <c r="E12" s="29">
        <f>E11+D12</f>
        <v>72445</v>
      </c>
      <c r="F12" s="28">
        <f>MIN(B12,Assumptions!$B$35)</f>
        <v>1050</v>
      </c>
      <c r="G12" s="29">
        <f>F12*'Per-Unit'!$C$12-Assumptions!$B$13-Assumptions!$B$25</f>
        <v>2135</v>
      </c>
      <c r="H12" s="29">
        <f>H11+G12</f>
        <v>3086.5</v>
      </c>
    </row>
    <row r="13">
      <c r="A13" s="26" t="n">
        <v>9</v>
      </c>
      <c r="B13" s="12">
        <f>ROUND(B12*(1+Assumptions!$B$30),0)</f>
        <v>1116</v>
      </c>
      <c r="C13" s="12">
        <f>MIN(B13,Assumptions!$B$36)</f>
        <v>1116</v>
      </c>
      <c r="D13" s="11">
        <f>C13*'Per-Unit'!$B$12-Assumptions!$B$13-Assumptions!$B$24</f>
        <v>11678</v>
      </c>
      <c r="E13" s="11">
        <f>E12+D13</f>
        <v>84123</v>
      </c>
      <c r="F13" s="12">
        <f>MIN(B13,Assumptions!$B$35)</f>
        <v>1050</v>
      </c>
      <c r="G13" s="11">
        <f>F13*'Per-Unit'!$C$12-Assumptions!$B$13-Assumptions!$B$25</f>
        <v>2135</v>
      </c>
      <c r="H13" s="11">
        <f>H12+G13</f>
        <v>5221.5</v>
      </c>
    </row>
    <row r="14">
      <c r="A14" s="27" t="n">
        <v>10</v>
      </c>
      <c r="B14" s="28">
        <f>ROUND(B13*(1+Assumptions!$B$30),0)</f>
        <v>1183</v>
      </c>
      <c r="C14" s="28">
        <f>MIN(B14,Assumptions!$B$36)</f>
        <v>1183</v>
      </c>
      <c r="D14" s="29">
        <f>C14*'Per-Unit'!$B$12-Assumptions!$B$13-Assumptions!$B$24</f>
        <v>12381.5</v>
      </c>
      <c r="E14" s="29">
        <f>E13+D14</f>
        <v>96504.5</v>
      </c>
      <c r="F14" s="28">
        <f>MIN(B14,Assumptions!$B$35)</f>
        <v>1050</v>
      </c>
      <c r="G14" s="29">
        <f>F14*'Per-Unit'!$C$12-Assumptions!$B$13-Assumptions!$B$25</f>
        <v>2135</v>
      </c>
      <c r="H14" s="29">
        <f>H13+G14</f>
        <v>7356.5</v>
      </c>
    </row>
    <row r="15">
      <c r="A15" s="26" t="n">
        <v>11</v>
      </c>
      <c r="B15" s="12">
        <f>ROUND(B14*(1+Assumptions!$B$30),0)</f>
        <v>1254</v>
      </c>
      <c r="C15" s="12">
        <f>MIN(B15,Assumptions!$B$36)</f>
        <v>1254</v>
      </c>
      <c r="D15" s="11">
        <f>C15*'Per-Unit'!$B$12-Assumptions!$B$13-Assumptions!$B$24</f>
        <v>13127</v>
      </c>
      <c r="E15" s="11">
        <f>E14+D15</f>
        <v>109631.5</v>
      </c>
      <c r="F15" s="12">
        <f>MIN(B15,Assumptions!$B$35)</f>
        <v>1050</v>
      </c>
      <c r="G15" s="11">
        <f>F15*'Per-Unit'!$C$12-Assumptions!$B$13-Assumptions!$B$25</f>
        <v>2135</v>
      </c>
      <c r="H15" s="11">
        <f>H14+G15</f>
        <v>9491.5</v>
      </c>
    </row>
    <row r="16">
      <c r="A16" s="27" t="n">
        <v>12</v>
      </c>
      <c r="B16" s="28">
        <f>ROUND(B15*(1+Assumptions!$B$30),0)</f>
        <v>1329</v>
      </c>
      <c r="C16" s="28">
        <f>MIN(B16,Assumptions!$B$36)</f>
        <v>1329</v>
      </c>
      <c r="D16" s="29">
        <f>C16*'Per-Unit'!$B$12-Assumptions!$B$13-Assumptions!$B$24</f>
        <v>13914.5</v>
      </c>
      <c r="E16" s="29">
        <f>E15+D16</f>
        <v>123546</v>
      </c>
      <c r="F16" s="28">
        <f>MIN(B16,Assumptions!$B$35)</f>
        <v>1050</v>
      </c>
      <c r="G16" s="29">
        <f>F16*'Per-Unit'!$C$12-Assumptions!$B$13-Assumptions!$B$25</f>
        <v>2135</v>
      </c>
      <c r="H16" s="29">
        <f>H15+G16</f>
        <v>11626.5</v>
      </c>
    </row>
    <row r="17">
      <c r="A17" s="30" t="inlineStr">
        <is>
          <t>Total</t>
        </is>
      </c>
      <c r="B17" s="31">
        <f>SUM(B5:B16)</f>
        <v>11812</v>
      </c>
      <c r="C17" s="31">
        <f>SUM(C5:C16)</f>
        <v>11812</v>
      </c>
      <c r="D17" s="32">
        <f>SUM(D5:D16)</f>
        <v>123546</v>
      </c>
      <c r="E17" s="30" t="n"/>
      <c r="F17" s="31">
        <f>SUM(F5:F16)</f>
        <v>11127</v>
      </c>
      <c r="G17" s="32">
        <f>SUM(G5:G16)</f>
        <v>11626.5</v>
      </c>
      <c r="H17" s="30" t="n"/>
    </row>
    <row r="19">
      <c r="A19" s="17" t="inlineStr">
        <is>
          <t>Year-1 net — FBA</t>
        </is>
      </c>
      <c r="C19" s="33">
        <f>D17</f>
        <v>123546</v>
      </c>
    </row>
    <row r="20">
      <c r="A20" s="17" t="inlineStr">
        <is>
          <t>Year-1 net — FBM</t>
        </is>
      </c>
      <c r="C20" s="33">
        <f>G17</f>
        <v>11626.5</v>
      </c>
    </row>
    <row r="21">
      <c r="A21" s="17" t="inlineStr">
        <is>
          <t>Advantage (FBA − FBM)</t>
        </is>
      </c>
      <c r="C21" s="34">
        <f>D17-G17</f>
        <v>111919.5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</cols>
  <sheetData>
    <row r="1">
      <c r="A1" s="1" t="inlineStr">
        <is>
          <t>Break-Even — Net Profit by Monthly Volume</t>
        </is>
      </c>
    </row>
    <row r="2">
      <c r="A2" s="2" t="inlineStr">
        <is>
          <t>Net profit at each volume (capped at capacity). Where a line crosses $0 is that method's break-even.</t>
        </is>
      </c>
    </row>
    <row r="4">
      <c r="A4" s="35" t="inlineStr">
        <is>
          <t>Units / month</t>
        </is>
      </c>
      <c r="B4" s="36" t="inlineStr">
        <is>
          <t>FBA net</t>
        </is>
      </c>
      <c r="C4" s="36" t="inlineStr">
        <is>
          <t>FBM net</t>
        </is>
      </c>
    </row>
    <row r="5">
      <c r="A5" s="12" t="n">
        <v>0</v>
      </c>
      <c r="B5" s="11">
        <f>MIN(A5,Assumptions!$B$36)*'Per-Unit'!$B$12-Assumptions!$B$13-Assumptions!$B$24</f>
        <v>-40</v>
      </c>
      <c r="C5" s="11">
        <f>MIN(A5,Assumptions!$B$35)*'Per-Unit'!$C$12-Assumptions!$B$13-Assumptions!$B$25</f>
        <v>-7840</v>
      </c>
    </row>
    <row r="6">
      <c r="A6" s="28" t="n">
        <v>100</v>
      </c>
      <c r="B6" s="29">
        <f>MIN(A6,Assumptions!$B$36)*'Per-Unit'!$B$12-Assumptions!$B$13-Assumptions!$B$24</f>
        <v>1010</v>
      </c>
      <c r="C6" s="29">
        <f>MIN(A6,Assumptions!$B$35)*'Per-Unit'!$C$12-Assumptions!$B$13-Assumptions!$B$25</f>
        <v>-6890</v>
      </c>
    </row>
    <row r="7">
      <c r="A7" s="12" t="n">
        <v>200</v>
      </c>
      <c r="B7" s="11">
        <f>MIN(A7,Assumptions!$B$36)*'Per-Unit'!$B$12-Assumptions!$B$13-Assumptions!$B$24</f>
        <v>2060</v>
      </c>
      <c r="C7" s="11">
        <f>MIN(A7,Assumptions!$B$35)*'Per-Unit'!$C$12-Assumptions!$B$13-Assumptions!$B$25</f>
        <v>-5940</v>
      </c>
    </row>
    <row r="8">
      <c r="A8" s="28" t="n">
        <v>300</v>
      </c>
      <c r="B8" s="29">
        <f>MIN(A8,Assumptions!$B$36)*'Per-Unit'!$B$12-Assumptions!$B$13-Assumptions!$B$24</f>
        <v>3110</v>
      </c>
      <c r="C8" s="29">
        <f>MIN(A8,Assumptions!$B$35)*'Per-Unit'!$C$12-Assumptions!$B$13-Assumptions!$B$25</f>
        <v>-4990</v>
      </c>
    </row>
    <row r="9">
      <c r="A9" s="12" t="n">
        <v>400</v>
      </c>
      <c r="B9" s="11">
        <f>MIN(A9,Assumptions!$B$36)*'Per-Unit'!$B$12-Assumptions!$B$13-Assumptions!$B$24</f>
        <v>4160</v>
      </c>
      <c r="C9" s="11">
        <f>MIN(A9,Assumptions!$B$35)*'Per-Unit'!$C$12-Assumptions!$B$13-Assumptions!$B$25</f>
        <v>-4040</v>
      </c>
    </row>
    <row r="10">
      <c r="A10" s="28" t="n">
        <v>500</v>
      </c>
      <c r="B10" s="29">
        <f>MIN(A10,Assumptions!$B$36)*'Per-Unit'!$B$12-Assumptions!$B$13-Assumptions!$B$24</f>
        <v>5210</v>
      </c>
      <c r="C10" s="29">
        <f>MIN(A10,Assumptions!$B$35)*'Per-Unit'!$C$12-Assumptions!$B$13-Assumptions!$B$25</f>
        <v>-3090</v>
      </c>
    </row>
    <row r="11">
      <c r="A11" s="12" t="n">
        <v>600</v>
      </c>
      <c r="B11" s="11">
        <f>MIN(A11,Assumptions!$B$36)*'Per-Unit'!$B$12-Assumptions!$B$13-Assumptions!$B$24</f>
        <v>6260</v>
      </c>
      <c r="C11" s="11">
        <f>MIN(A11,Assumptions!$B$35)*'Per-Unit'!$C$12-Assumptions!$B$13-Assumptions!$B$25</f>
        <v>-2140</v>
      </c>
    </row>
    <row r="12">
      <c r="A12" s="28" t="n">
        <v>700</v>
      </c>
      <c r="B12" s="29">
        <f>MIN(A12,Assumptions!$B$36)*'Per-Unit'!$B$12-Assumptions!$B$13-Assumptions!$B$24</f>
        <v>7310</v>
      </c>
      <c r="C12" s="29">
        <f>MIN(A12,Assumptions!$B$35)*'Per-Unit'!$C$12-Assumptions!$B$13-Assumptions!$B$25</f>
        <v>-1190</v>
      </c>
    </row>
    <row r="13">
      <c r="A13" s="12" t="n">
        <v>800</v>
      </c>
      <c r="B13" s="11">
        <f>MIN(A13,Assumptions!$B$36)*'Per-Unit'!$B$12-Assumptions!$B$13-Assumptions!$B$24</f>
        <v>8360</v>
      </c>
      <c r="C13" s="11">
        <f>MIN(A13,Assumptions!$B$35)*'Per-Unit'!$C$12-Assumptions!$B$13-Assumptions!$B$25</f>
        <v>-240</v>
      </c>
    </row>
    <row r="14">
      <c r="A14" s="28" t="n">
        <v>900</v>
      </c>
      <c r="B14" s="29">
        <f>MIN(A14,Assumptions!$B$36)*'Per-Unit'!$B$12-Assumptions!$B$13-Assumptions!$B$24</f>
        <v>9410</v>
      </c>
      <c r="C14" s="29">
        <f>MIN(A14,Assumptions!$B$35)*'Per-Unit'!$C$12-Assumptions!$B$13-Assumptions!$B$25</f>
        <v>710</v>
      </c>
    </row>
    <row r="15">
      <c r="A15" s="12" t="n">
        <v>1000</v>
      </c>
      <c r="B15" s="11">
        <f>MIN(A15,Assumptions!$B$36)*'Per-Unit'!$B$12-Assumptions!$B$13-Assumptions!$B$24</f>
        <v>10460</v>
      </c>
      <c r="C15" s="11">
        <f>MIN(A15,Assumptions!$B$35)*'Per-Unit'!$C$12-Assumptions!$B$13-Assumptions!$B$25</f>
        <v>1660</v>
      </c>
    </row>
    <row r="16">
      <c r="A16" s="28" t="n">
        <v>1100</v>
      </c>
      <c r="B16" s="29">
        <f>MIN(A16,Assumptions!$B$36)*'Per-Unit'!$B$12-Assumptions!$B$13-Assumptions!$B$24</f>
        <v>11510</v>
      </c>
      <c r="C16" s="29">
        <f>MIN(A16,Assumptions!$B$35)*'Per-Unit'!$C$12-Assumptions!$B$13-Assumptions!$B$25</f>
        <v>2135</v>
      </c>
    </row>
    <row r="17">
      <c r="A17" s="12" t="n">
        <v>1200</v>
      </c>
      <c r="B17" s="11">
        <f>MIN(A17,Assumptions!$B$36)*'Per-Unit'!$B$12-Assumptions!$B$13-Assumptions!$B$24</f>
        <v>12560</v>
      </c>
      <c r="C17" s="11">
        <f>MIN(A17,Assumptions!$B$35)*'Per-Unit'!$C$12-Assumptions!$B$13-Assumptions!$B$25</f>
        <v>2135</v>
      </c>
    </row>
    <row r="18">
      <c r="A18" s="28" t="n">
        <v>1300</v>
      </c>
      <c r="B18" s="29">
        <f>MIN(A18,Assumptions!$B$36)*'Per-Unit'!$B$12-Assumptions!$B$13-Assumptions!$B$24</f>
        <v>13610</v>
      </c>
      <c r="C18" s="29">
        <f>MIN(A18,Assumptions!$B$35)*'Per-Unit'!$C$12-Assumptions!$B$13-Assumptions!$B$25</f>
        <v>2135</v>
      </c>
    </row>
    <row r="19">
      <c r="A19" s="12" t="n">
        <v>1400</v>
      </c>
      <c r="B19" s="11">
        <f>MIN(A19,Assumptions!$B$36)*'Per-Unit'!$B$12-Assumptions!$B$13-Assumptions!$B$24</f>
        <v>14660</v>
      </c>
      <c r="C19" s="11">
        <f>MIN(A19,Assumptions!$B$35)*'Per-Unit'!$C$12-Assumptions!$B$13-Assumptions!$B$25</f>
        <v>2135</v>
      </c>
    </row>
    <row r="20">
      <c r="A20" s="28" t="n">
        <v>1500</v>
      </c>
      <c r="B20" s="29">
        <f>MIN(A20,Assumptions!$B$36)*'Per-Unit'!$B$12-Assumptions!$B$13-Assumptions!$B$24</f>
        <v>15710</v>
      </c>
      <c r="C20" s="29">
        <f>MIN(A20,Assumptions!$B$35)*'Per-Unit'!$C$12-Assumptions!$B$13-Assumptions!$B$25</f>
        <v>2135</v>
      </c>
    </row>
    <row r="22">
      <c r="A22" s="17" t="inlineStr">
        <is>
          <t>Break-even units</t>
        </is>
      </c>
      <c r="B22" s="37">
        <f>(Assumptions!$B$13+Assumptions!$B$24)/'Per-Unit'!$B$12</f>
        <v>3.8095238095238093</v>
      </c>
      <c r="C22" s="37">
        <f>(Assumptions!$B$13+Assumptions!$B$25)/'Per-Unit'!$C$12</f>
        <v>825.2631578947369</v>
      </c>
    </row>
    <row r="23">
      <c r="A23" s="2" t="inlineStr">
        <is>
          <t>Break-even = fixed costs (plan + labor) ÷ contribution per unit</t>
        </is>
      </c>
    </row>
  </sheetData>
  <mergeCells count="1">
    <mergeCell ref="A23:C2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Scenario Comparison — Referral × Fulfillment</t>
        </is>
      </c>
    </row>
    <row r="2">
      <c r="A2" s="2" t="inlineStr">
        <is>
          <t>Contribution, break-even and monthly net at snapshot volume. Referral is editable (blue). Labor per method from Assumptions.</t>
        </is>
      </c>
    </row>
    <row r="4">
      <c r="A4" s="25" t="inlineStr">
        <is>
          <t>Scenario</t>
        </is>
      </c>
      <c r="B4" s="25" t="inlineStr">
        <is>
          <t>Referral</t>
        </is>
      </c>
      <c r="C4" s="25" t="inlineStr">
        <is>
          <t>Method</t>
        </is>
      </c>
      <c r="D4" s="25" t="inlineStr">
        <is>
          <t>Contribution/unit</t>
        </is>
      </c>
      <c r="E4" s="25" t="inlineStr">
        <is>
          <t>Break-even units</t>
        </is>
      </c>
      <c r="F4" s="25" t="inlineStr">
        <is>
          <t>Net @ snapshot</t>
        </is>
      </c>
      <c r="G4" s="25" t="inlineStr">
        <is>
          <t>Net margin %</t>
        </is>
      </c>
    </row>
    <row r="5">
      <c r="A5" s="38" t="inlineStr">
        <is>
          <t>Low fee · FBM</t>
        </is>
      </c>
      <c r="B5" s="8" t="n">
        <v>0.08</v>
      </c>
      <c r="C5" s="39" t="inlineStr">
        <is>
          <t>FBM</t>
        </is>
      </c>
      <c r="D5" s="40">
        <f>Assumptions!$B$5-Assumptions!$B$6-Assumptions!$B$5*B5-Assumptions!$B$16</f>
        <v>11.600000000000001</v>
      </c>
      <c r="E5" s="41">
        <f>(Assumptions!$B$13+Assumptions!$B$25)/D5</f>
        <v>675.8620689655172</v>
      </c>
      <c r="F5" s="42">
        <f>MIN(Assumptions!$B$28,Assumptions!$B$35)*D5-Assumptions!$B$13-Assumptions!$B$25</f>
        <v>2600.000000000002</v>
      </c>
      <c r="G5" s="43">
        <f>F5/(MIN(Assumptions!$B$28,Assumptions!$B$35)*Assumptions!$B$5)</f>
        <v>0.09629629629629637</v>
      </c>
    </row>
    <row r="6">
      <c r="A6" s="44" t="inlineStr">
        <is>
          <t>Low fee · FBA</t>
        </is>
      </c>
      <c r="B6" s="8" t="n">
        <v>0.08</v>
      </c>
      <c r="C6" s="45" t="inlineStr">
        <is>
          <t>FBA</t>
        </is>
      </c>
      <c r="D6" s="46">
        <f>Assumptions!$B$5-Assumptions!$B$6-Assumptions!$B$5*B6-Assumptions!$B$11-Assumptions!$B$12</f>
        <v>12.600000000000001</v>
      </c>
      <c r="E6" s="47">
        <f>(Assumptions!$B$13+Assumptions!$B$24)/D6</f>
        <v>3.1746031746031744</v>
      </c>
      <c r="F6" s="48">
        <f>MIN(Assumptions!$B$28,Assumptions!$B$36)*D6-Assumptions!$B$13-Assumptions!$B$24</f>
        <v>11300.000000000002</v>
      </c>
      <c r="G6" s="49">
        <f>F6/(MIN(Assumptions!$B$28,Assumptions!$B$36)*Assumptions!$B$5)</f>
        <v>0.41851851851851857</v>
      </c>
    </row>
    <row r="7">
      <c r="A7" s="38" t="inlineStr">
        <is>
          <t>Typical · FBM</t>
        </is>
      </c>
      <c r="B7" s="8" t="n">
        <v>0.15</v>
      </c>
      <c r="C7" s="39" t="inlineStr">
        <is>
          <t>FBM</t>
        </is>
      </c>
      <c r="D7" s="40">
        <f>Assumptions!$B$5-Assumptions!$B$6-Assumptions!$B$5*B7-Assumptions!$B$16</f>
        <v>9.5</v>
      </c>
      <c r="E7" s="41">
        <f>(Assumptions!$B$13+Assumptions!$B$25)/D7</f>
        <v>825.2631578947369</v>
      </c>
      <c r="F7" s="42">
        <f>MIN(Assumptions!$B$28,Assumptions!$B$35)*D7-Assumptions!$B$13-Assumptions!$B$25</f>
        <v>710</v>
      </c>
      <c r="G7" s="43">
        <f>F7/(MIN(Assumptions!$B$28,Assumptions!$B$35)*Assumptions!$B$5)</f>
        <v>0.026296296296296297</v>
      </c>
    </row>
    <row r="8">
      <c r="A8" s="44" t="inlineStr">
        <is>
          <t>Typical · FBA</t>
        </is>
      </c>
      <c r="B8" s="8" t="n">
        <v>0.15</v>
      </c>
      <c r="C8" s="45" t="inlineStr">
        <is>
          <t>FBA</t>
        </is>
      </c>
      <c r="D8" s="46">
        <f>Assumptions!$B$5-Assumptions!$B$6-Assumptions!$B$5*B8-Assumptions!$B$11-Assumptions!$B$12</f>
        <v>10.5</v>
      </c>
      <c r="E8" s="47">
        <f>(Assumptions!$B$13+Assumptions!$B$24)/D8</f>
        <v>3.8095238095238093</v>
      </c>
      <c r="F8" s="48">
        <f>MIN(Assumptions!$B$28,Assumptions!$B$36)*D8-Assumptions!$B$13-Assumptions!$B$24</f>
        <v>9410</v>
      </c>
      <c r="G8" s="49">
        <f>F8/(MIN(Assumptions!$B$28,Assumptions!$B$36)*Assumptions!$B$5)</f>
        <v>0.3485185185185185</v>
      </c>
    </row>
    <row r="10">
      <c r="A10" s="2" t="inlineStr">
        <is>
          <t>Net @ snapshot uses Assumptions!B28 units, capped at each method's capacity.</t>
        </is>
      </c>
    </row>
  </sheetData>
  <mergeCells count="1">
    <mergeCell ref="A10:G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2026-08-25T11:24:56Z</dcterms:created>
  <dcterms:modified xmlns:dcterms="http://purl.org/dc/terms/" xmlns:xsi="http://www.w3.org/2001/XMLSchema-instance" xsi:type="dcterms:W3CDTF">2026-08-25T11:24:56Z</dcterms:modified>
</cp:coreProperties>
</file>